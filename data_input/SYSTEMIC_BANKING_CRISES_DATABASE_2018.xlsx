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Crisis Years" sheetId="2" r:id="rId5"/>
    <sheet state="visible" name="Crisis Frequency" sheetId="3" r:id="rId6"/>
    <sheet state="visible" name="Crisis Resolution and Outcomes" sheetId="4" r:id="rId7"/>
    <sheet state="visible" name="Additional Details" sheetId="5" r:id="rId8"/>
  </sheets>
  <definedNames/>
  <calcPr/>
  <extLst>
    <ext uri="GoogleSheetsCustomDataVersion2">
      <go:sheetsCustomData xmlns:go="http://customooxmlschemas.google.com/" r:id="rId9" roundtripDataChecksum="sSVAcxGttOuMj6oIzzbdD8MQNCtb5JMzaHT2MTSPrn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Q6">
      <text>
        <t xml:space="preserve">======
ID#AAAB6GATLbM
Author    (2026-05-11 17:35:34)
Explicit DI was introduced in 2000 with a coverage limit of 30000000</t>
      </text>
    </comment>
    <comment authorId="0" ref="B47">
      <text>
        <t xml:space="preserve">======
ID#AAAB6GATLbE
Author    (2026-05-11 17:35:34)
Honohan and Klingebiel (2003)</t>
      </text>
    </comment>
    <comment authorId="0" ref="K1">
      <text>
        <t xml:space="preserve">======
ID#AAAB6GATLbI
Author    (2026-05-11 17:35:34)
soure: Banking crises in transition economies
Fiscal costs and related issues
Tang, Zoli and Klytchsnikova (2000), WB working paper 2484
IMF staff report 1999</t>
      </text>
    </comment>
    <comment authorId="0" ref="BI1">
      <text>
        <t xml:space="preserve">======
ID#AAAB6GATLbA
Author    (2026-05-11 17:35:34)
Source:
IMF occasional paper224
IMF (EBS/02/8 Sup 1)
IMF SIP 2004
Fatih ÖZATAY and Güven SAK (2003) "Banking sector fragility and Turkey's 2000–01 financial crisis". Discussion paper, Central Bank of Turkey.</t>
      </text>
    </comment>
    <comment authorId="0" ref="BO6">
      <text>
        <t xml:space="preserve">======
ID#AAAB6GATLa8
Author    (2026-05-11 17:35:34)
Law on protection of bank deposits was enacted on December 27, 2002, creating a bank deposits collateral fund  and a Superintendency of Bank Savings Protection.  However, although Uruguay established a deposit insurance system, it was not regulated. The Financial System Restructuring Act in Uruguay authorizes the executive branch to set aside part of its resources to cover deposits up to US$ 100,000.</t>
      </text>
    </comment>
    <comment authorId="0" ref="AW6">
      <text>
        <t xml:space="preserve">======
ID#AAAB6GATLa4
Author    (2026-05-11 17:35:34)
Explicit DI introduced in 2003 with coverage limit of 64207500 in local currency</t>
      </text>
    </comment>
    <comment authorId="0" ref="C3">
      <text>
        <t xml:space="preserve">======
ID#AAAB6GATLa0
Author    (2026-05-11 17:35:34)
deposit freeze</t>
      </text>
    </comment>
    <comment authorId="0" ref="H6">
      <text>
        <t xml:space="preserve">======
ID#AAAB6GATLas
Author    (2026-05-11 17:35:34)
Explicit DI introduced in 2001</t>
      </text>
    </comment>
    <comment authorId="0" ref="V33">
      <text>
        <t xml:space="preserve">======
ID#AAAB6GATLaw
Author    (2026-05-11 17:35:34)
Recapitalization of merged bank NEB and UBB</t>
      </text>
    </comment>
    <comment authorId="0" ref="O45">
      <text>
        <t xml:space="preserve">======
ID#AAAB6GATLak
Author    (2026-05-11 17:35:34)
1990
IMF staff report</t>
      </text>
    </comment>
    <comment authorId="0" ref="C1">
      <text>
        <t xml:space="preserve">======
ID#AAAB6GATLao
Author    (2026-05-11 17:35:34)
Main source: IMF SM/92/66</t>
      </text>
    </comment>
    <comment authorId="0" ref="Q20">
      <text>
        <t xml:space="preserve">======
ID#AAAB6GATLac
Fabian Valencia    (2026-05-11 17:35:34)
No, but there was a substantial increase of coverage. Following the failure of bank bohemia, a partial deposit insurance scheme was introduced, which covered 80% of deposits, up to CZK100,000.  The runs at other small banks, those under restructuring in Phase II, induced the government to raise (temporarily) deposit insurance coverage to 100% of deposits up to CZK4 millions for deposits at the 18 banks under this restructuring phase.  The increase implied a coverage of 99% of depositors and about 2/3 of deposits. The official limit was later raised for all banks to  CZK400,000.</t>
      </text>
    </comment>
    <comment authorId="0" ref="BI27">
      <text>
        <t xml:space="preserve">======
ID#AAAB6GATLag
Author    (2026-05-11 17:35:34)
04/2001</t>
      </text>
    </comment>
    <comment authorId="0" ref="J34">
      <text>
        <t xml:space="preserve">======
ID#AAAB6GATLaY
Author    (2026-05-11 17:35:34)
The figures include 2.5% of costs associated with resolution of private banks and 2.48% of recapitalizations of public banks.  It does not include costs associated with the Federal government assuming debts of states to state-banks in return for ownership of the bank for later restructuring and privatization. Total restructured debt reached 8.29% of GDP, and privatization receipts of these banks reached around 3% of GDP (IMF Selected issues and statistical appendix 2000).</t>
      </text>
    </comment>
    <comment authorId="0" ref="BO45">
      <text>
        <t xml:space="preserve">======
ID#AAAB6GATLaU
Author    (2026-05-11 17:35:34)
IMF EBS/03/93</t>
      </text>
    </comment>
    <comment authorId="0" ref="BL26">
      <text>
        <t xml:space="preserve">======
ID#AAAB6GATLaQ
Author    (2026-05-11 17:35:34)
definition met continuously since Nov-08, therefore, the date corresponds to the beginning of the crisis.</t>
      </text>
    </comment>
    <comment authorId="0" ref="BL34">
      <text>
        <t xml:space="preserve">======
ID#AAAB6GATLaM
Author    (2026-05-11 17:35:34)
Recapitalization of Privatbank (4.8) and of state-owned Oschadbank and Ukreximbank (2.4)</t>
      </text>
    </comment>
    <comment authorId="0" ref="AJ22">
      <text>
        <t xml:space="preserve">======
ID#AAAB6GATLaE
Author    (2026-05-11 17:35:34)
end-2000</t>
      </text>
    </comment>
    <comment authorId="0" ref="AK27">
      <text>
        <t xml:space="preserve">======
ID#AAAB6GATLaI
Author    (2026-05-11 17:35:34)
as of  01/1996</t>
      </text>
    </comment>
    <comment authorId="0" ref="BK14">
      <text>
        <t xml:space="preserve">======
ID#AAAB6GATLaA
Author    (2026-05-11 17:35:34)
Limitis on early withdrawal of time deposits in fall 2008</t>
      </text>
    </comment>
    <comment authorId="0" ref="AV33">
      <text>
        <t xml:space="preserve">======
ID#AAAB6GATLZ4
Author    (2026-05-11 17:35:34)
Initial assessed losses were written down against original shareholders' equity before receiving recap. Funds.</t>
      </text>
    </comment>
    <comment authorId="0" ref="J6">
      <text>
        <t xml:space="preserve">======
ID#AAAB6GATLZ8
Author    (2026-05-11 17:35:34)
Explicit DI introduced in 1995 with coverage limit of Reais 20000</t>
      </text>
    </comment>
    <comment authorId="0" ref="BH6">
      <text>
        <t xml:space="preserve">======
ID#AAAB6GATLZ0
Author    (2026-05-11 17:35:34)
limited insurance introduced in 2004</t>
      </text>
    </comment>
    <comment authorId="0" ref="AH24">
      <text>
        <t xml:space="preserve">======
ID#AAAB6GATLZw
Author    (2026-05-11 17:35:34)
On November 26, 1997, following the failure of Tokyo City Bank, which caused runs at other institutions the MOF and BOJ issued a joint statement: "all deposits including interbank deposits were protected and that the BOJ would provide sufficient funds to assure smooth functioning of deposit withdrawals".</t>
      </text>
    </comment>
    <comment authorId="0" ref="P9">
      <text>
        <t xml:space="preserve">======
ID#AAAB6GATLZs
Author    (2026-05-11 17:35:34)
It was first introduced in 1997, with full coverage up to 30,000, and 75% of the balance between 30,000 and 50,000. In July 1998, coverage was revised to 100,000</t>
      </text>
    </comment>
    <comment authorId="0" ref="AG34">
      <text>
        <t xml:space="preserve">======
ID#AAAB6GATLZk
Author    (2026-05-11 17:35:34)
It includes only bank recapitalizations.  Injections at insurance companies amounted to 11 percent of GDP.</t>
      </text>
    </comment>
    <comment authorId="0" ref="AT2">
      <text>
        <t xml:space="preserve">======
ID#AAAB6GATLZo
Author    (2026-05-11 17:35:34)
This is when the first of 4 banks was intervened</t>
      </text>
    </comment>
    <comment authorId="0" ref="AP47">
      <text>
        <t xml:space="preserve">======
ID#AAAB6GATLZc
Author    (2026-05-11 17:35:34)
it includes debtors support programs.</t>
      </text>
    </comment>
    <comment authorId="0" ref="U34">
      <text>
        <t xml:space="preserve">======
ID#AAAB6GATLZg
Author    (2026-05-11 17:35:34)
includes recap. Of Filanbanco for 310 millions and CFN 100 millions</t>
      </text>
    </comment>
    <comment authorId="0" ref="R15">
      <text>
        <t xml:space="preserve">======
ID#AAAB6GATLZY
Author    (2026-05-11 17:35:34)
Counting until the time of complete removal of domestic payment restrictions. 
Domestic payment restrictions were relaxed gradually and were fully removed by May 2014. 
External restrictions were in place until April 6, 2015</t>
      </text>
    </comment>
    <comment authorId="0" ref="L27">
      <text>
        <t xml:space="preserve">======
ID#AAAB6GATLZQ
Author    (2026-05-11 17:35:34)
12/1985</t>
      </text>
    </comment>
    <comment authorId="0" ref="AB45">
      <text>
        <t xml:space="preserve">======
ID#AAAB6GATLZU
Author    (2026-05-11 17:35:34)
Imf FSI 2013Q2</t>
      </text>
    </comment>
    <comment authorId="0" ref="J1">
      <text>
        <t xml:space="preserve">======
ID#AAAB6GATLZM
Author    (2026-05-11 17:35:34)
Main sources: Geraldo, M. (1999) "Restructuring the banking system – the case of Brazil"  BIS Policy paper N. 6.; IMF SM/97/44; IMF SM/00/251</t>
      </text>
    </comment>
    <comment authorId="0" ref="AG29">
      <text>
        <t xml:space="preserve">======
ID#AAAB6GATLZE
Author    (2026-05-11 17:35:34)
As of  March, 31st 1998, FINSAC had acquired control blocks of equity and/or board seats in five life insurance companies, at least five of Jamaica’s nine domestic commercial banks, and through these banks’ subsidiaries, two building societies and four merchant banks.</t>
      </text>
    </comment>
    <comment authorId="0" ref="U18">
      <text>
        <t xml:space="preserve">======
ID#AAAB6GATLZI
Fabian Valencia    (2026-05-11 17:35:34)
3/8/1999</t>
      </text>
    </comment>
    <comment authorId="0" ref="BO30">
      <text>
        <t xml:space="preserve">======
ID#AAAB6GATLZA
Author    (2026-05-11 17:35:34)
Bridge bank was government owned</t>
      </text>
    </comment>
    <comment authorId="0" ref="AP21">
      <text>
        <t xml:space="preserve">======
ID#AAAB6GATLY4
Author    (2026-05-11 17:35:34)
FOBAPROA, a trust managed by the Central Bank and funded by premia paid by banks,  would announce every december the amount of deposits that would be covered the following year. Such announcenment did not occur in 1993, 1994, and 1995 and instead the government expressed the intention to guarantee all liabilities, except for subordinated debt. (IMF, RED (1995) )</t>
      </text>
    </comment>
    <comment authorId="0" ref="E30">
      <text>
        <t xml:space="preserve">======
ID#AAAB6GATLY8
Author    (2026-05-11 17:35:34)
Credit Agricole, Bisel, Entre Rios were intervened and their administration transferred to Banco La Nación to be privatized later.</t>
      </text>
    </comment>
    <comment authorId="0" ref="I6">
      <text>
        <t xml:space="preserve">======
ID#AAAB6GATLY0
Author    (2026-05-11 17:35:34)
Explicit DI introduced in 1995 with coverage limit of Reais 20000</t>
      </text>
    </comment>
    <comment authorId="0" ref="AE45">
      <text>
        <t xml:space="preserve">======
ID#AAAB6GATLYw
Author    (2026-05-11 17:35:34)
IMF FSI, 2013Q4</t>
      </text>
    </comment>
    <comment authorId="0" ref="BI21">
      <text>
        <t xml:space="preserve">======
ID#AAAB6GATLYs
Author    (2026-05-11 17:35:34)
However, a blanket guarantee on savings deposits had been announced in May-94 and was never lifted. Furthermore, banks that were intervened since 1997 had all their creditors protected.</t>
      </text>
    </comment>
    <comment authorId="0" ref="AW22">
      <text>
        <t xml:space="preserve">======
ID#AAAB6GATLYo
Author    (2026-05-11 17:35:34)
On 6/96, the Congress passed a limited deposit insurance law, setting the maximum coverage at 10 minimun wages. During the second wave of bank failures (mid-1997) the limit was raised to 100 minimun wages. While the full coverage on intervened banks was announced, there were still pressures because it was not aiming at covering unrecorded deposits (paralell banking). However, in late 1995 the Congress passed a law providing limited coverage to those deposits, which was vetoed by the President. Nevertheless, the Congress approved it again in May 1996, including coverage of unrecorded deposits when the deposit insurance law was passed.</t>
      </text>
    </comment>
    <comment authorId="0" ref="AZ38">
      <text>
        <t xml:space="preserve">======
ID#AAAB6GATLYk
Author    (2026-05-11 17:35:34)
Some depositors (those whose savings were not transferred to Sberbank) sustained losses at insolvent banks. Even those who benefited from the transfer faced some losses since the exchange rate used in the transaction was less than half of the market exchange rate prevailing at the time.</t>
      </text>
    </comment>
    <comment authorId="0" ref="B38">
      <text>
        <t xml:space="preserve">======
ID#AAAB6GATLYg
Author    (2026-05-11 17:35:34)
However, the government issued BONEX as substitutes for supplying foreign currency. Repatriation of profits, royalties, and investments were allowed as long as done with BONEX. These dollar-denominated bonds paid 6-mont LIBOR rate and at issuance had an implied exchange rate well below the one prevailing in the black market. They traded with a significant discount</t>
      </text>
    </comment>
    <comment authorId="0" ref="E38">
      <text>
        <t xml:space="preserve">======
ID#AAAB6GATLYc
Author    (2026-05-11 17:35:34)
Dollar deposits were converted into domestic currency at ARG$1.4, which was below the prevailing market rate.</t>
      </text>
    </comment>
    <comment authorId="0" ref="E16">
      <text>
        <t xml:space="preserve">======
ID#AAAB6GATLYY
Fabian Valencia    (2026-05-11 17:35:34)
Corralito was introduced first and limited withdrawals up to US$250 a week, it prohibited transfers abroad unless trade-related, introduced marginal reserve requirements, and limited transactions that could reduce deposits. Corralon reprogrammed time deposits over a 5-year horizon</t>
      </text>
    </comment>
    <comment authorId="0" ref="AK1">
      <text>
        <t xml:space="preserve">======
ID#AAAB6GATLYQ
Author    (2026-05-11 17:35:34)
Sources:
IMF WP/96/134
WB WP/2484
Stephan Barisitz ( 2002) "Banking in the Baltics — The Development of the Banking Systems of Estonia, Latvia and Lithuania since Independence" Austrian National Bank.</t>
      </text>
    </comment>
    <comment authorId="0" ref="AJ21">
      <text>
        <t xml:space="preserve">======
ID#AAAB6GATLYU
Author    (2026-05-11 17:35:34)
Aug-25 1997 (external liabilities)  Nov 1997 (deposits)</t>
      </text>
    </comment>
    <comment authorId="0" ref="C47">
      <text>
        <t xml:space="preserve">======
ID#AAAB6GATLYM
Author    (2026-05-11 17:35:34)
losses accumulated at the central bank by 1989</t>
      </text>
    </comment>
    <comment authorId="0" ref="AJ34">
      <text>
        <t xml:space="preserve">======
ID#AAAB6GATLYI
Author    (2026-05-11 17:35:34)
of which 7.3% corresponds to NPL purchases.</t>
      </text>
    </comment>
    <comment authorId="0" ref="J45">
      <text>
        <t xml:space="preserve">======
ID#AAAB6GATLX4
Author    (2026-05-11 17:35:34)
1996</t>
      </text>
    </comment>
    <comment authorId="0" ref="N45">
      <text>
        <t xml:space="preserve">======
ID#AAAB6GATLX8
Author    (2026-05-11 17:35:34)
FOGAFIN's report (Colombia)</t>
      </text>
    </comment>
    <comment authorId="0" ref="C27">
      <text>
        <t xml:space="preserve">======
ID#AAAB6GATLYE
Author    (2026-05-11 17:35:34)
6/1990</t>
      </text>
    </comment>
    <comment authorId="0" ref="AO6">
      <text>
        <t xml:space="preserve">======
ID#AAAB6GATLYA
Author    (2026-05-11 17:35:34)
Explicit DI (blanket guarantee) introduced in 1998</t>
      </text>
    </comment>
    <comment authorId="0" ref="E3">
      <text>
        <t xml:space="preserve">======
ID#AAAB6GATLX0
Author    (2026-05-11 17:35:34)
deposit freeze</t>
      </text>
    </comment>
    <comment authorId="0" ref="AQ47">
      <text>
        <t xml:space="preserve">======
ID#AAAB6GATLXo
Author    (2026-05-11 17:35:34)
Government issued debt to repay depositors</t>
      </text>
    </comment>
    <comment authorId="0" ref="BO16">
      <text>
        <t xml:space="preserve">======
ID#AAAB6GATLXs
Fabian Valencia    (2026-05-11 17:35:34)
Only dollar time deposits at public banks</t>
      </text>
    </comment>
    <comment authorId="0" ref="BL47">
      <text>
        <t xml:space="preserve">======
ID#AAAB6GATLXw
Author    (2026-05-11 17:35:34)
Estimates of as of mid-2017, including projected costs for 2017 and 2018</t>
      </text>
    </comment>
    <comment authorId="0" ref="A4">
      <text>
        <t xml:space="preserve">======
ID#AAAB6GATLXk
Author    (2026-05-11 17:35:34)
For recent cases, see Laeven and Valencia (2010) for a brief description of the origins of the crisis.</t>
      </text>
    </comment>
    <comment authorId="0" ref="AD22">
      <text>
        <t xml:space="preserve">======
ID#AAAB6GATLXg
Fabian Valencia    (2026-05-11 17:35:34)
It began to be phased out in July 2005</t>
      </text>
    </comment>
    <comment authorId="0" ref="W21">
      <text>
        <t xml:space="preserve">======
ID#AAAB6GATLXc
Author    (2026-05-11 17:35:34)
The authorities announced in August 92 that the stability of the financial system would be preserved under all circumstances.</t>
      </text>
    </comment>
    <comment authorId="0" ref="E29">
      <text>
        <t xml:space="preserve">======
ID#AAAB6GATLXY
Author    (2026-05-11 17:35:34)
There were no liquidations. Most banks continued to operate due to forbearance. However, a number of banks, accounting for 12% of deposits were intervened, or taken over by other Public banks.</t>
      </text>
    </comment>
    <comment authorId="0" ref="M34">
      <text>
        <t xml:space="preserve">======
ID#AAAB6GATLXM
Author    (2026-05-11 17:35:34)
Resources injected by FOGAFIN, created in 1985</t>
      </text>
    </comment>
    <comment authorId="0" ref="BP45">
      <text>
        <t xml:space="preserve">======
ID#AAAB6GATLXQ
Author    (2026-05-11 17:35:34)
as of 1995
IMF SM/98/127</t>
      </text>
    </comment>
    <comment authorId="0" ref="BE30">
      <text>
        <t xml:space="preserve">======
ID#AAAB6GATLXU
Author    (2026-05-11 17:35:34)
Nordbanken and Gota Bank</t>
      </text>
    </comment>
    <comment authorId="0" ref="AG1">
      <text>
        <t xml:space="preserve">======
ID#AAAB6GATLXI
Author    (2026-05-11 17:35:34)
Annual reports of FINSAC
www.finsac.com
IMF selected issues paper 1999. SM/98/166</t>
      </text>
    </comment>
    <comment authorId="0" ref="E34">
      <text>
        <t xml:space="preserve">======
ID#AAAB6GATLXE
Author    (2026-05-11 17:35:34)
Includes Arg$bl.28 for compensation of asymmetric pesoisation, and Arg$bl.2 for compensation of asymmetric indexation.</t>
      </text>
    </comment>
    <comment authorId="0" ref="R45">
      <text>
        <t xml:space="preserve">======
ID#AAAB6GATLXA
Author    (2026-05-11 17:35:34)
IMF FSI, 2015Q4</t>
      </text>
    </comment>
    <comment authorId="0" ref="L34">
      <text>
        <t xml:space="preserve">======
ID#AAAB6GATLW8
Author    (2026-05-11 17:35:34)
Includes 2.65% of capitalization of emergency credit lines in Banco de Chile and Banco Santiago.</t>
      </text>
    </comment>
    <comment authorId="0" ref="C14">
      <text>
        <t xml:space="preserve">======
ID#AAAB6GATLWw
Fabian Valencia    (2026-05-11 17:35:34)
Bonex plan converted time deposits  into dollar-denominated bonds converted at the exchange rate prevailing on Dec. 28th (the measure was announced on January 1st, after the exchange rate went from 1800 australs per dollar to over 3000 between Dec. 28 and Dec. 31). The maturity of the bonds was 10 years, with 2 years of grace period, paying an interest rate slightly above LIBOR and with quaterly payments. After the conversion, they traded with a discount of almost 2 thirds. However, their price recovered to 50 percent after the economic package announced in March 1990.</t>
      </text>
    </comment>
    <comment authorId="0" ref="G45">
      <text>
        <t xml:space="preserve">======
ID#AAAB6GATLW0
Author    (2026-05-11 17:35:34)
IMF FSI, 2013Q4</t>
      </text>
    </comment>
    <comment authorId="0" ref="AA45">
      <text>
        <t xml:space="preserve">======
ID#AAAB6GATLW4
Author    (2026-05-11 17:35:34)
IMF FSI, 2016Q3</t>
      </text>
    </comment>
    <comment authorId="0" ref="AM30">
      <text>
        <t xml:space="preserve">======
ID#AAAB6GATLWk
Author    (2026-05-11 17:35:34)
Innovation bank was taken over first, to be closed later in 1997. Another mid-sized bank was nationalied earlier in mid-1995</t>
      </text>
    </comment>
    <comment authorId="0" ref="AY45">
      <text>
        <t xml:space="preserve">======
ID#AAAB6GATLWo
Author    (2026-05-11 17:35:34)
IMF FSI 2015Q3</t>
      </text>
    </comment>
    <comment authorId="0" ref="BI45">
      <text>
        <t xml:space="preserve">======
ID#AAAB6GATLWs
Author    (2026-05-11 17:35:34)
private banks, as of 2001. SIP 2004</t>
      </text>
    </comment>
    <comment authorId="0" ref="BJ1">
      <text>
        <t xml:space="preserve">======
ID#AAAB6GATLWc
Author    (2026-05-11 17:35:34)
FSSA 2003
WB WP 2484
IMF SM/99/77</t>
      </text>
    </comment>
    <comment authorId="0" ref="AT27">
      <text>
        <t xml:space="preserve">======
ID#AAAB6GATLWg
fabian valencia    (2026-05-11 17:35:34)
As of January 2001</t>
      </text>
    </comment>
    <comment authorId="0" ref="BL30">
      <text>
        <t xml:space="preserve">======
ID#AAAB6GATLWY
Author    (2026-05-11 17:35:34)
PrivatBank</t>
      </text>
    </comment>
    <comment authorId="0" ref="L47">
      <text>
        <t xml:space="preserve">======
ID#AAAB6GATLWU
Author    (2026-05-11 17:35:34)
sanhueza (2001)</t>
      </text>
    </comment>
    <comment authorId="0" ref="I16">
      <text>
        <t xml:space="preserve">======
ID#AAAB6GATLWQ
Fabian Valencia    (2026-05-11 17:35:34)
M2 + federal securities in the hands of the public, except balances below NCZ$50,000 for checking accounts and NCZ$25000 for savings accounts or 20% of the balance (whichever larger) for deposits in the overnight domestic debt market, and 20% of the balance for mutual funds (2/3's of financial assets in the economy)</t>
      </text>
    </comment>
    <comment authorId="0" ref="BP3">
      <text>
        <t xml:space="preserve">======
ID#AAAB6GATLWM
Author    (2026-05-11 17:35:34)
Jan 1994: Government takeover of Banco latina (second largest bank in country), followed by several other banks.</t>
      </text>
    </comment>
    <comment authorId="0" ref="BC45">
      <text>
        <t xml:space="preserve">======
ID#AAAB6GATLWI
Author    (2026-05-11 17:35:34)
IMF FSI 2013Q4</t>
      </text>
    </comment>
    <comment authorId="0" ref="U47">
      <text>
        <t xml:space="preserve">======
ID#AAAB6GATLWE
Author    (2026-05-11 17:35:34)
It includes deposits covered by the blanket guarantee that as of 2007 have not been honored.</t>
      </text>
    </comment>
    <comment authorId="0" ref="AJ3">
      <text>
        <t xml:space="preserve">======
ID#AAAB6GATLWA
Author    (2026-05-11 17:35:34)
Nov 1997: blanket guarantee; Korea Asset Management Corporation's (KAMCO) nonperforming asset fund established; extensive liquidity support.
Dec 1997: IMF approves three-year Stand-By Arrangement but rollover of short-term debt continues to decline.</t>
      </text>
    </comment>
    <comment authorId="0" ref="AJ1">
      <text>
        <t xml:space="preserve">======
ID#AAAB6GATK1k
Author    (2026-05-11 17:35:34)
Sources: Bank of Korea , SIP 2002, EBS/99/154</t>
      </text>
    </comment>
    <comment authorId="0" ref="N36">
      <text>
        <t xml:space="preserve">======
ID#AAAB6GATK1c
Author    (2026-05-11 17:35:34)
Includes shares in restructured banks that are operating but hadn't been privatized as of the date this value was determined. (FOGACIN 2004 report)</t>
      </text>
    </comment>
    <comment authorId="0" ref="U45">
      <text>
        <t xml:space="preserve">======
ID#AAAB6GATK1g
Author    (2026-05-11 17:35:34)
12/1999</t>
      </text>
    </comment>
    <comment authorId="0" ref="AD45">
      <text>
        <t xml:space="preserve">======
ID#AAAB6GATK1U
Author    (2026-05-11 17:35:34)
as of 2000
IMF SIP 2000</t>
      </text>
    </comment>
    <comment authorId="0" ref="AK45">
      <text>
        <t xml:space="preserve">======
ID#AAAB6GATK1Y
Author    (2026-05-11 17:35:34)
as of 1996
WB working paper 2484</t>
      </text>
    </comment>
    <comment authorId="0" ref="AI27">
      <text>
        <t xml:space="preserve">======
ID#AAAB6GATK1M
Author    (2026-05-11 17:35:34)
includes Treasury support</t>
      </text>
    </comment>
    <comment authorId="0" ref="U38">
      <text>
        <t xml:space="preserve">======
ID#AAAB6GATK1Q
Author    (2026-05-11 17:35:34)
Frozen deposits were significantly eroded by accelerating inflation and depreciation of the currency</t>
      </text>
    </comment>
    <comment authorId="0" ref="AD3">
      <text>
        <t xml:space="preserve">======
ID#AAAB6GATK1I
Author    (2026-05-11 17:35:34)
Dec-97: Deposit runs on banks, accounting for half of banking system assets.
Jan-98: Indonesian Bank Restructuring Agency (IBRA) established and blanket guarantee announced.</t>
      </text>
    </comment>
    <comment authorId="0" ref="U1">
      <text>
        <t xml:space="preserve">======
ID#AAAB6GATK1E
Author    (2026-05-11 17:35:34)
IMF WP 04/12
IMF EBS/01/200</t>
      </text>
    </comment>
    <comment authorId="0" ref="P36">
      <text>
        <t xml:space="preserve">======
ID#AAAB6GATK1A
fabian valencia    (2026-05-11 17:35:34)
small</t>
      </text>
    </comment>
    <comment authorId="0" ref="O1">
      <text>
        <t xml:space="preserve">======
ID#AAAB6GATK08
Author    (2026-05-11 17:35:34)
Source: IMF country reports:
Staff report 1991; Recent economic developments 1992 and 1989</t>
      </text>
    </comment>
    <comment authorId="0" ref="L6">
      <text>
        <t xml:space="preserve">======
ID#AAAB6GATK04
Author    (2026-05-11 17:35:34)
Explicit DI introduced in 1986 with full guarantee on time deposits and coverage limit of 939119 Chilean Pesos on savings deposits</t>
      </text>
    </comment>
    <comment authorId="0" ref="H36">
      <text>
        <t xml:space="preserve">======
ID#AAAB6GATK00
Fabian Valencia    (2026-05-11 17:35:34)
N/A. However, presumably most of it was recovered since banks started to pay the subordinated loans early.</t>
      </text>
    </comment>
    <comment authorId="0" ref="AV36">
      <text>
        <t xml:space="preserve">======
ID#AAAB6GATK0w
Author    (2026-05-11 17:35:34)
2% including mkt value of unsold shares, and 0.99% including only cash receipts from dividends and sold shares</t>
      </text>
    </comment>
    <comment authorId="0" ref="BL45">
      <text>
        <t xml:space="preserve">======
ID#AAAB6GATK0s
Author    (2026-05-11 17:35:34)
As of 2017Q1, IMF's FSI's.</t>
      </text>
    </comment>
    <comment authorId="0" ref="AM20">
      <text>
        <t xml:space="preserve">======
ID#AAAB6GATK0k
Author    (2026-05-11 17:35:34)
The government did not announced an explicit guarantee to all creditors. However, in accordance with the Civil Code, creditors of the 3 state-controlled banks (2/3 of total deposits) were fully protected. Moreover, the Parliament passed in Dec/95 a law extending full protection to the creditors of the two closed banks (suspended in Dec).</t>
      </text>
    </comment>
    <comment authorId="0" ref="AI45">
      <text>
        <t xml:space="preserve">======
ID#AAAB6GATK0o
Author    (2026-05-11 17:35:34)
2009</t>
      </text>
    </comment>
    <comment authorId="0" ref="BB45">
      <text>
        <t xml:space="preserve">======
ID#AAAB6GATK0c
Author    (2026-05-11 17:35:34)
IMF FSI 
2013Q3</t>
      </text>
    </comment>
    <comment authorId="0" ref="E2">
      <text>
        <t xml:space="preserve">======
ID#AAAB6GATK0g
Author    (2026-05-11 17:35:34)
Bank runs</t>
      </text>
    </comment>
    <comment authorId="0" ref="BL29">
      <text>
        <t xml:space="preserve">======
ID#AAAB6GATK0Y
Author    (2026-05-11 17:35:34)
Since January 2014, 51 insolvent banks, accounting for 21.8 percent of the system’s total assets,
have been intervened (42 of them liquidated and the remaining placed under temporary
administration), including two large banks.</t>
      </text>
    </comment>
    <comment authorId="0" ref="AQ45">
      <text>
        <t xml:space="preserve">======
ID#AAAB6GATK0U
Author    (2026-05-11 17:35:34)
IMF FSI 2016Q4</t>
      </text>
    </comment>
    <comment authorId="0" ref="I15">
      <text>
        <t xml:space="preserve">======
ID#AAAB6GATK0Q
Author    (2026-05-11 17:35:34)
Freezing was announced in Mid-March 1990 and was planned to keep the bloking for 18 months fto later begain releasing funds within 12 months. It was implemented through the replacement at par of the new cruzado with a new currency, the cruzeiro. While blocked, deposits would earn a real return of 6% a year. Blocked resources had to be deposited at the central bank. Some early release took place in Mid-March and Mid-May, mainly to meet tax and payroll obligations (40% of blocked assets) . The unblocking began in August 1991 (a month earlier than planned).</t>
      </text>
    </comment>
    <comment authorId="0" ref="I1">
      <text>
        <t xml:space="preserve">======
ID#AAAB6GATK0M
Author    (2026-05-11 17:35:34)
Source: IMF recent economic developments 1991, 1992, 1993</t>
      </text>
    </comment>
    <comment authorId="0" ref="AD30">
      <text>
        <t xml:space="preserve">======
ID#AAAB6GATK0I
Author    (2026-05-11 17:35:34)
12 banks were nationalized, accounting for 20% of the system.</t>
      </text>
    </comment>
    <comment authorId="0" ref="K24">
      <text>
        <t xml:space="preserve">======
ID#AAAB6GATK0E
Fabian Valencia    (2026-05-11 17:35:34)
While no Blanket guarantee was announced, household deposits and half of corporate deposits were fully guaranteed ex-post</t>
      </text>
    </comment>
    <comment authorId="0" ref="BM2">
      <text>
        <t xml:space="preserve">======
ID#AAAB6GATK0A
Author    (2026-05-11 17:35:34)
Arrangements to guarantee all existing deposits in Northern Rock</t>
      </text>
    </comment>
    <comment authorId="0" ref="L20">
      <text>
        <t xml:space="preserve">======
ID#AAAB6GATKz8
Author    (2026-05-11 17:35:34)
There was no explicit declaration of a full guarantee. However, the liquidations that took place in 1981 and 1982 implied a de facto full guarantee. The liquidations that took place in 1983 implied a loss to depositors, since domestic creditors were paid at 70% of face value. (Sanhueza 2001)</t>
      </text>
    </comment>
    <comment authorId="0" ref="Q47">
      <text>
        <t xml:space="preserve">======
ID#AAAB6GATKz4
Author    (2026-05-11 17:35:34)
The costs include only those incurred from 1996 onwards. (the consolidation plan I, implemented in 91-93 cost about 20.3% of GDP)</t>
      </text>
    </comment>
    <comment authorId="0" ref="T45">
      <text>
        <t xml:space="preserve">======
ID#AAAB6GATKz0
Author    (2026-05-11 17:35:34)
12/2003</t>
      </text>
    </comment>
    <comment authorId="0" ref="BE1">
      <text>
        <t xml:space="preserve">======
ID#AAAB6GATKzw
Author    (2026-05-11 17:35:34)
Source:  Moe, Thorvald, Jon solheim and Bent Vale (2004). "The Norwegian Banking Crisis", Norges Bank Occasional paper #33.</t>
      </text>
    </comment>
    <comment authorId="0" ref="AO34">
      <text>
        <t xml:space="preserve">======
ID#AAAB6GATKzs
Author    (2026-05-11 17:35:34)
(In percent of 1998 GDP)
                                                                                                             Gross                                      Recovery                                         Net Cost
Danaharta                                                                                            4.4                                                 3.4                                                   1.1
Danamodal                                                                                         3.8                                                 3.2                                                   0.5
Bank Bumiputera and Sime Bank transactions                  8.2                                                 4.7                                                   3.4
            Total                                                                                        16.4                                                11.3                                                    5.0</t>
      </text>
    </comment>
    <comment authorId="0" ref="N1">
      <text>
        <t xml:space="preserve">======
ID#AAAB6GATKzo
Author    (2026-05-11 17:35:34)
Sources: FOGACIN reportes de Gestión 1999. Ministry of Finance presentation</t>
      </text>
    </comment>
    <comment authorId="0" ref="BO48">
      <text>
        <t xml:space="preserve">======
ID#AAAB6GATKzg
Author    (2026-05-11 17:35:34)
expected, (EBS/03/93)</t>
      </text>
    </comment>
    <comment authorId="0" ref="U36">
      <text>
        <t xml:space="preserve">======
ID#AAAB6GATKzk
Author    (2026-05-11 17:35:34)
book value of Pacifico as of dec-04 for US$97ml.</t>
      </text>
    </comment>
    <comment authorId="0" ref="AQ20">
      <text>
        <t xml:space="preserve">======
ID#AAAB6GATKzc
Author    (2026-05-11 17:35:34)
Only deposits of the three problem banks were guaranteed.</t>
      </text>
    </comment>
    <comment authorId="0" ref="C15">
      <text>
        <t xml:space="preserve">======
ID#AAAB6GATKzU
Fabian Valencia    (2026-05-11 17:35:34)
10 years, with quarterly payments</t>
      </text>
    </comment>
    <comment authorId="0" ref="AP30">
      <text>
        <t xml:space="preserve">======
ID#AAAB6GATKzY
Author    (2026-05-11 17:35:34)
Interventions</t>
      </text>
    </comment>
    <comment authorId="0" ref="BH1">
      <text>
        <t xml:space="preserve">======
ID#AAAB6GATKzM
Author    (2026-05-11 17:35:34)
Source: IMF occasional paper224
IMF SIP 2002
WB working paper 428</t>
      </text>
    </comment>
    <comment authorId="0" ref="B1">
      <text>
        <t xml:space="preserve">======
ID#AAAB6GATKzQ
Author    (2026-05-11 17:35:34)
Main sources: IMF recent economic developments 1980, 1981, 1982</t>
      </text>
    </comment>
    <comment authorId="0" ref="AD1">
      <text>
        <t xml:space="preserve">======
ID#AAAB6GATKzI
Author    (2026-05-11 17:35:34)
Sources: EBS/99/154
IMF WP /01/52
IMF SIP 2000</t>
      </text>
    </comment>
    <comment authorId="0" ref="BI9">
      <text>
        <t xml:space="preserve">======
ID#AAAB6GATKzE
Author    (2026-05-11 17:35:34)
Blanket guarantee introduced in 1995; reinstated in 2000.</t>
      </text>
    </comment>
    <comment authorId="0" ref="AP31">
      <text>
        <t xml:space="preserve">======
ID#AAAB6GATKzA
Author    (2026-05-11 17:35:34)
Banks sold loans to FOBAPROA, and they transferred them to a trust, but they kept control over them.</t>
      </text>
    </comment>
    <comment authorId="0" ref="X45">
      <text>
        <t xml:space="preserve">======
ID#AAAB6GATKy0
Author    (2026-05-11 17:35:34)
IMF FSI, 2013Q4</t>
      </text>
    </comment>
    <comment authorId="0" ref="B9">
      <text>
        <t xml:space="preserve">======
ID#AAAB6GATKy4
Author    (2026-05-11 17:35:34)
Full coverage for the first 1 million pesos and 90% thereafter</t>
      </text>
    </comment>
    <comment authorId="0" ref="AL27">
      <text>
        <t xml:space="preserve">======
ID#AAAB6GATKy8
Author    (2026-05-11 17:35:34)
includes Treasury support</t>
      </text>
    </comment>
    <comment authorId="0" ref="K37">
      <text>
        <t xml:space="preserve">======
ID#AAAB6GATKyw
Author    (2026-05-11 17:35:34)
small relative to overall cost quoted in wb wp2482 because here we consider only recap. As of 1996 and after, whereas the cost provided there is a cumulative figure since 1991</t>
      </text>
    </comment>
    <comment authorId="0" ref="BP13">
      <text>
        <t xml:space="preserve">======
ID#AAAB6GATKys
Author    (2026-05-11 17:35:34)
There was no general deposit freeze, but when Banco Latino was closed, deposits at the bank were frozen for over two months until the bank was reopened. When the bank was reopened, depositors holding more than B 10m received long-term non-negotiable bonds at below-market rates, for the excess over that threshold.</t>
      </text>
    </comment>
    <comment authorId="0" ref="BQ1">
      <text>
        <t xml:space="preserve">======
ID#AAAB6GATKyo
Author    (2026-05-11 17:35:34)
Source:
IMF SM/00/53
IMF staff report 12/2003
IMF staff report 06/2006</t>
      </text>
    </comment>
    <comment authorId="0" ref="Q35">
      <text>
        <t xml:space="preserve">======
ID#AAAB6GATKyk
Author    (2026-05-11 17:35:34)
Privatization receipts of public banks imply some of the gross outlays were recovered. However, no information was found to disentangle the amount that can be attributed to the 1998 outlays from the existing ownership of the state before the recapitalization took place.</t>
      </text>
    </comment>
    <comment authorId="0" ref="AP1">
      <text>
        <t xml:space="preserve">======
ID#AAAB6GATKyc
Author    (2026-05-11 17:35:34)
Sources: Recent Economic Developments 95, 96, 97, 98, IMF staff report 2000,  BIS policy paper Graf, P. (1999) "Policy responses to the banking crisis in mexico"</t>
      </text>
    </comment>
    <comment authorId="0" ref="U16">
      <text>
        <t xml:space="preserve">======
ID#AAAB6GATKyg
Fabian Valencia    (2026-05-11 17:35:34)
Savings deposits up to US$500, 1 half of checking account balances, repurchase agreements, and time deposits</t>
      </text>
    </comment>
    <comment authorId="0" ref="M1">
      <text>
        <t xml:space="preserve">======
ID#AAAB6GATKyY
Author    (2026-05-11 17:35:34)
Source: IMF recent economic developments 84-89</t>
      </text>
    </comment>
    <comment authorId="0" ref="O38">
      <text>
        <t xml:space="preserve">======
ID#AAAB6GATKyM
Author    (2026-05-11 17:35:34)
In the liquidation of BDN, only 85% of depositors were compensated fully.</t>
      </text>
    </comment>
    <comment authorId="0" ref="AX1">
      <text>
        <t xml:space="preserve">======
ID#AAAB6GATKyQ
Author    (2026-05-11 17:35:34)
Information taken from EBS/99/154</t>
      </text>
    </comment>
    <comment authorId="0" ref="BD1">
      <text>
        <t xml:space="preserve">======
ID#AAAB6GATKyI
Author    (2026-05-11 17:35:34)
IMF staff reports 92, 93, 94</t>
      </text>
    </comment>
    <comment authorId="0" ref="S45">
      <text>
        <t xml:space="preserve">======
ID#AAAB6GATKyU
Author    (2026-05-11 17:35:34)
Author:</t>
      </text>
    </comment>
    <comment authorId="0" ref="AK6">
      <text>
        <t xml:space="preserve">======
ID#AAAB6GATKx8
Author    (2026-05-11 17:35:34)
Explicit DI introduced in 1998 with coverage limit of 500 Lat</t>
      </text>
    </comment>
    <comment authorId="0" ref="Q9">
      <text>
        <t xml:space="preserve">======
ID#AAAB6GATKyE
Author    (2026-05-11 17:35:34)
Co-insurance, coverage covered 80% of deposits up to this amount.</t>
      </text>
    </comment>
    <comment authorId="0" ref="BO3">
      <text>
        <t xml:space="preserve">======
ID#AAAB6GATKyA
Author    (2026-05-11 17:35:34)
bank holiday</t>
      </text>
    </comment>
    <comment authorId="0" ref="M6">
      <text>
        <t xml:space="preserve">======
ID#AAAB6GATKx0
Author    (2026-05-11 17:35:34)
Explicit DI introduced in 1985 with coverage limit of maximum of 10 million Columbian dollars</t>
      </text>
    </comment>
    <comment authorId="0" ref="L1">
      <text>
        <t xml:space="preserve">======
ID#AAAB6GATKx4
Author    (2026-05-11 17:35:34)
Sanhueza, G. (2001) "Chilean Banking Crisis of the 1980's: Solutions and estimation of the costs." Central Bank of Chile's working paper 104.</t>
      </text>
    </comment>
    <comment authorId="0" ref="BD31">
      <text>
        <t xml:space="preserve">======
ID#AAAB6GATKxs
Author    (2026-05-11 17:35:34)
The original plan was to transfer the bad loans from the state-owned institutions to an asset collection agency, but as of 1994 it hadn't happened</t>
      </text>
    </comment>
    <comment authorId="0" ref="Q36">
      <text>
        <t xml:space="preserve">======
ID#AAAB6GATKxw
fabian valencia    (2026-05-11 17:35:34)
small</t>
      </text>
    </comment>
    <comment authorId="0" ref="V38">
      <text>
        <t xml:space="preserve">======
ID#AAAB6GATKxo
Author    (2026-05-11 17:35:34)
Depositors of Tartu commercial bank were only partially paid, whereas in the failure of Social bank in 1994, they were fully protected (Tang, Zoli and Itchnikova WB wp)</t>
      </text>
    </comment>
    <comment authorId="0" ref="AZ31">
      <text>
        <t xml:space="preserve">======
ID#AAAB6GATKxk
Author    (2026-05-11 17:35:34)
A unit within ARKO</t>
      </text>
    </comment>
    <comment authorId="0" ref="W1">
      <text>
        <t xml:space="preserve">======
ID#AAAB6GATKxg
Author    (2026-05-11 17:35:34)
Source:  Moe, Thorvald, Jon solheim and Bent Vale (2004). "The Norwegian Banking Crisis", Norges Bank Occasional paper #33.
Dress and Pasarbasioglu (1997) "The nordic financial crises: Pitfuls in financial liberalization" IMF ocassional paper 161</t>
      </text>
    </comment>
    <comment authorId="0" ref="AH9">
      <text>
        <t xml:space="preserve">======
ID#AAAB6GATKxc
Author    (2026-05-11 17:35:34)
Full guarantee introduced in 1996</t>
      </text>
    </comment>
    <comment authorId="0" ref="AW33">
      <text>
        <t xml:space="preserve">======
ID#AAAB6GATKxY
Author    (2026-05-11 17:35:34)
It was not a widespread recapitalization program.  The government implemented a purchase of NPL's in banks that failed to fulfill a rehabilitation plan that was meant to be implemented as condition for long-term assistance from the Central Bank. In 1996, the total assitance under these purchases reached 1.1%.
Furthermore, In January 1997, the social security capitalized deposits for G.26bl in Banco de Desarrollo, which were lost when the bank was closed.</t>
      </text>
    </comment>
    <comment authorId="0" ref="AZ20">
      <text>
        <t xml:space="preserve">======
ID#AAAB6GATKxQ
Author    (2026-05-11 17:35:34)
However,  a large fraction of deposits at insolvent banks were transferred to the public bank Sberbank</t>
      </text>
    </comment>
    <comment authorId="0" ref="AT47">
      <text>
        <t xml:space="preserve">======
ID#AAAB6GATKxU
Author    (2026-05-11 17:35:34)
Includes loans from the central bank for 3.22% of GDP.</t>
      </text>
    </comment>
    <comment authorId="0" ref="BE2">
      <text>
        <t xml:space="preserve">======
ID#AAAB6GATKxM
Author    (2026-05-11 17:35:34)
Sept-91 (first large FI intervened). Blanket guarantee declared in Sept 1992</t>
      </text>
    </comment>
    <comment authorId="0" ref="AP22">
      <text>
        <t xml:space="preserve">======
ID#AAAB6GATKxI
Author    (2026-05-11 17:35:34)
However, its removal was gradual. 
On June 1, 1999, coverage was lifted for liabilities arising from subordinated obligations, interbank credits linked to Bank of Mexico claims, claims from other members of the bank’s financial group, claims from board members and senior staff, and irregular operations.
On January 1, 2000: bank liabilities from derivative operations with shares and metals.
On January 1, 2001:  bank liabilities from derivative financial operations carried out in recognized stock exchanges.
On January 1, 2002:  Coverage of bank operations related to guaranteed deposits, tax collection, contributions in favor of the Treasury, and securities’ settlement accounts.
As of January 1, 2003, coverage of bank liabilities was limited to a maximum of UDI 10 million per person and per financial institution.</t>
      </text>
    </comment>
    <comment authorId="0" ref="BO33">
      <text>
        <t xml:space="preserve">======
ID#AAAB6GATKxE
Author    (2026-05-11 17:35:34)
A fund was stablished to supplement liquidity support from the Central Bank, and recapitalization. However, only one bank, (comercial) used US$33ml. for recapitalization purposes.</t>
      </text>
    </comment>
    <comment authorId="0" ref="AD38">
      <text>
        <t xml:space="preserve">======
ID#AAAB6GATKxA
Author    (2026-05-11 17:35:34)
The initial closure of 16 banks included a limited coverage of depositors. However, after the announcement of the blanket guarantee, depositors of those banks were retroactively included in the protection.</t>
      </text>
    </comment>
    <comment authorId="0" ref="BP33">
      <text>
        <t xml:space="preserve">======
ID#AAAB6GATKw4
Author    (2026-05-11 17:35:34)
A recapitalization plan was proposed, but it did not gain support. However, Fogade had to inject funds in several intervened banks to cover losses. So, figures included here correspond to those funds.</t>
      </text>
    </comment>
    <comment authorId="0" ref="AR45">
      <text>
        <t xml:space="preserve">======
ID#AAAB6GATKw8
Author    (2026-05-11 17:35:34)
staff report, 2009</t>
      </text>
    </comment>
    <comment authorId="0" ref="J29">
      <text>
        <t xml:space="preserve">======
ID#AAAB6GATKw0
Author    (2026-05-11 17:35:34)
institutions with an aggregate market whare of about 35% were either intervened, liquidated or entered special administration regime.</t>
      </text>
    </comment>
    <comment authorId="0" ref="AG36">
      <text>
        <t xml:space="preserve">======
ID#AAAB6GATKws
Author    (2026-05-11 17:35:34)
of which, 2.48% corresponds to book value of National Commercial Bank, privatized in 2002.</t>
      </text>
    </comment>
    <comment authorId="0" ref="AZ6">
      <text>
        <t xml:space="preserve">======
ID#AAAB6GATKww
Author    (2026-05-11 17:35:34)
Explicit DI introduced in 20003 with coverage limit of 100000 Rubles</t>
      </text>
    </comment>
    <comment authorId="0" ref="BI34">
      <text>
        <t xml:space="preserve">======
ID#AAAB6GATKwk
Author    (2026-05-11 17:35:34)
First tranch (2001) 24.4% Second Tranch (2002) only one public bank needed Tier 2% for US$ 137 millions or 0.1% of GDP</t>
      </text>
    </comment>
    <comment authorId="0" ref="R30">
      <text>
        <t xml:space="preserve">======
ID#AAAB6GATKwo
Author    (2026-05-11 17:35:34)
Central Cooperative Bank was nationalized and recapitalized with public funds</t>
      </text>
    </comment>
    <comment authorId="0" ref="L38">
      <text>
        <t xml:space="preserve">======
ID#AAAB6GATKwg
Author    (2026-05-11 17:35:34)
Bank liquidations in 1983 involved paying depositors only 70% of face value. However, the liquidations in 1981 implied full compensation.</t>
      </text>
    </comment>
    <comment authorId="0" ref="R16">
      <text>
        <t xml:space="preserve">======
ID#AAAB6GATKwc
Author    (2026-05-11 17:35:34)
The restrictions included:
Cash:
– Withdrawal limit: €9,000 per month
– Export of bank notes limit: €2,000 per journey
• Checks, credit, debit:
– Cashing of checks prohibited
– Use of credit card abroad limited to €5,000 per person per month
• Wire-transfers:
– Business transfers: &gt; €300,000 domestic or &gt; €20,000 cross-border -&gt; subject to approval
– Individuals may transfer up to €3,000 to another domestic bank
– Legal persons may transfer up to €50,000 to another domestic bank
• Prohibition to open new bank accounts
• Extension of term deposits</t>
      </text>
    </comment>
    <comment authorId="0" ref="U15">
      <text>
        <t xml:space="preserve">======
ID#AAAB6GATKwY
Fabian Valencia    (2026-05-11 17:35:34)
for savings and checking accounts 6 months, and 1 year for the rest</t>
      </text>
    </comment>
    <comment authorId="0" ref="U2">
      <text>
        <t xml:space="preserve">======
ID#AAAB6GATKwU
Author    (2026-05-11 17:35:34)
Although the first failure happened in april, it is in August when the incidents reached systemic dimensions. By end of september, 11 institutions had requested liquidity assistance from the central bank</t>
      </text>
    </comment>
    <comment authorId="0" ref="H29">
      <text>
        <t xml:space="preserve">======
ID#AAAB6GATKwQ
Author    (2026-05-11 17:35:34)
2 closures, 3 restructurings. The problems affected institutions which in aggregate represented 30% of assets of the system</t>
      </text>
    </comment>
    <comment authorId="0" ref="E15">
      <text>
        <t xml:space="preserve">======
ID#AAAB6GATKwI
Fabian Valencia    (2026-05-11 17:35:34)
Corralito's last restrictions were lifted in Dec-02, whereas Corralon's deposits were reprogrammed over a 5-year horizon</t>
      </text>
    </comment>
    <comment authorId="0" ref="BH38">
      <text>
        <t xml:space="preserve">======
ID#AAAB6GATKwM
Author    (2026-05-11 17:35:34)
depositors of the closed finance companies received certificates yielding below market interest rates.</t>
      </text>
    </comment>
    <comment authorId="0" ref="C16">
      <text>
        <t xml:space="preserve">======
ID#AAAB6GATKwA
Fabian Valencia    (2026-05-11 17:35:34)
time deposits, except for the first US$ 500, especial accounts (such as charitable foundations, funds that could be proven were meant to be used in tax or salary payments) were exempted</t>
      </text>
    </comment>
    <comment authorId="0" ref="BE47">
      <text>
        <t xml:space="preserve">======
ID#AAAB6GATKwE
Author    (2026-05-11 17:35:34)
Norges Bank Occasional Paper</t>
      </text>
    </comment>
    <comment authorId="0" ref="AP9">
      <text>
        <t xml:space="preserve">======
ID#AAAB6GATKv8
Author    (2026-05-11 17:35:34)
it became full in 1993, but it was limited in 1986</t>
      </text>
    </comment>
    <comment authorId="0" ref="AZ13">
      <text>
        <t xml:space="preserve">======
ID#AAAB6GATKv4
Author    (2026-05-11 17:35:34)
Imposition of capital controls and foreign exchange restrictions.</t>
      </text>
    </comment>
    <comment authorId="0" ref="AH21">
      <text>
        <t xml:space="preserve">======
ID#AAAB6GATKv0
Author    (2026-05-11 17:35:34)
A blanket guarantee was formally announced in Nov/97. However, a reform to the deposit insurance law eliminated the "payoff" cost limit, which contrained how much the deposit insurance fund could contribute in the resolution of a failed institution to faciliate an orderly resolution.</t>
      </text>
    </comment>
    <comment authorId="0" ref="BP38">
      <text>
        <t xml:space="preserve">======
ID#AAAB6GATKvw
Author    (2026-05-11 17:35:34)
Depositors at Banco Latino with more than B 10m. Received long-term non-negotiable bonds with interest rate below market, for the amount exceeding the 10m..</t>
      </text>
    </comment>
    <comment authorId="0" ref="BH3">
      <text>
        <t xml:space="preserve">======
ID#AAAB6GATKvs
Author    (2026-05-11 17:35:34)
October 1997: Financial sector restructuring strategy announced; Financial Sector Restructuring Agency and asset management company established; blanket guarantee strengthened; new powers to intervene in banks; Emergency decrees to facilitate financial sector restructuring</t>
      </text>
    </comment>
    <comment authorId="0" ref="I29">
      <text>
        <t xml:space="preserve">======
ID#AAAB6GATKvo
Author    (2026-05-11 17:35:34)
Most of banks that ran into liquidity problems were public. Virtually all liquidity assistance went to them.</t>
      </text>
    </comment>
    <comment authorId="0" ref="BQ3">
      <text>
        <t xml:space="preserve">======
ID#AAAB6GATKvk
Author    (2026-05-11 17:35:34)
Dec-1997: NPLs estimated at 30%. October 1998: Recapitalization of four stateowned commercial banks by the State bank of Vietnam.</t>
      </text>
    </comment>
    <comment authorId="0" ref="BO1">
      <text>
        <t xml:space="preserve">======
ID#AAAB6E83odc
Author    (2026-05-11 17:35:34)
Source: 
World Bank Working paper 3780
EBS/03/93 supplement 2, fifth and sixth review of SBA 2006</t>
      </text>
    </comment>
    <comment authorId="0" ref="D29">
      <text>
        <t xml:space="preserve">======
ID#AAAB6E83odY
Author    (2026-05-11 17:35:34)
In total, 15 institutions ran into problems. 5 of them were liquidated (0.6% of system's assets), 6 were resolved under a P&amp;A (1.9% of system's assets), and 4 were absorved by healthier institutions. In addition to that, a significant consolidation process took place, as 14 mergers, involving 47 institutions.</t>
      </text>
    </comment>
    <comment authorId="0" ref="AT6">
      <text>
        <t xml:space="preserve">======
ID#AAAB6E83odU
Author    (2026-05-11 17:35:34)
Explicit DI introduced in 2001 with full coverage until end-June 2001 and thereafter coverage limit of US$ 20000</t>
      </text>
    </comment>
    <comment authorId="0" ref="BJ38">
      <text>
        <t xml:space="preserve">======
ID#AAAB6E83odM
Author    (2026-05-11 17:35:34)
there was no deposit insurance, so, depositors had to wait for liquidation of the bank.</t>
      </text>
    </comment>
    <comment authorId="0" ref="Z45">
      <text>
        <t xml:space="preserve">======
ID#AAAB6E83odQ
Author    (2026-05-11 17:35:34)
IMF staff reports</t>
      </text>
    </comment>
    <comment authorId="0" ref="AV20">
      <text>
        <t xml:space="preserve">======
ID#AAAB6E83odI
Author    (2026-05-11 17:35:34)
There was no announcement of coverage to all bank creditors. However, the existent insurance scheme offered full protection to 
non-bank depositors of savings banks (provided by the SBGF) and  the Commercial banks fund (CBGF) was able to impose an upper limit to coverage if needed, but it didn't. These funds, however, were funded by the financial institutions. Furthermore, the Ministry of Finance announced in October 1991that the government would implement the necessary measures to secure confidence in Christiania bank and the rest of the banking system.
Ch 6., page 184 of "The norwegian Banking Crisis" and pp. 89</t>
      </text>
    </comment>
    <comment authorId="0" ref="F45">
      <text>
        <t xml:space="preserve">======
ID#AAAB6E83odA
Author    (2026-05-11 17:35:34)
IMF FSI, 2014Q2</t>
      </text>
    </comment>
    <comment authorId="0" ref="P1">
      <text>
        <t xml:space="preserve">======
ID#AAAB6E83odE
Author    (2026-05-11 17:35:34)
IMF selected issues paper 1999 (SM/99/301)
Croatian National Bank's surveys:
S-1 March 2000
S-2 March 2000</t>
      </text>
    </comment>
    <comment authorId="0" ref="C38">
      <text>
        <t xml:space="preserve">======
ID#AAAB6E83oc4
Author    (2026-05-11 17:35:34)
BONEX plan converted time deposits into long-term bonds at an exchange rate below the prevailing on the market.</t>
      </text>
    </comment>
    <comment authorId="0" ref="A29">
      <text>
        <t xml:space="preserve">======
ID#AAAB6E83oc8
Author    (2026-05-11 17:35:34)
Interventions such as nationalizations, closures, mergers, sales, and recapitalizations of large banks</t>
      </text>
    </comment>
    <comment authorId="0" ref="K34">
      <text>
        <t xml:space="preserve">======
ID#AAAB6E83oc0
Author    (2026-05-11 17:35:34)
Includes recapitalization costs for US$180m of 6-state-owned banks in 1996 and US$50m in 1997</t>
      </text>
    </comment>
    <comment authorId="0" ref="O34">
      <text>
        <t xml:space="preserve">======
ID#AAAB6E83oco
Author    (2026-05-11 17:35:34)
recapitalization of banks, where the participation of the government was capped at 20%</t>
      </text>
    </comment>
    <comment authorId="0" ref="AF45">
      <text>
        <t xml:space="preserve">======
ID#AAAB6E83ocs
Author    (2026-05-11 17:35:34)
IMF FSI 2014Q4</t>
      </text>
    </comment>
    <comment authorId="0" ref="AV45">
      <text>
        <t xml:space="preserve">======
ID#AAAB6E83ocw
Author    (2026-05-11 17:35:34)
1993</t>
      </text>
    </comment>
    <comment authorId="0" ref="H45">
      <text>
        <t xml:space="preserve">======
ID#AAAB6E83ocg
Author    (2026-05-11 17:35:34)
as of 1995</t>
      </text>
    </comment>
    <comment authorId="0" ref="AV1">
      <text>
        <t xml:space="preserve">======
ID#AAAB6E83ock
Author    (2026-05-11 17:35:34)
Source:  Moe, Thorvald, Jon solheim and Bent Vale (2004). "The Norwegian Banking Crisis", Norges Bank Occasional paper #33.</t>
      </text>
    </comment>
    <comment authorId="0" ref="AG21">
      <text>
        <t xml:space="preserve">======
ID#AAAB6E83occ
Author    (2026-05-11 17:35:34)
After problems at Century. The government tried to limit liabilities announcing that payouts would be limited to 90% of deposits, up to J$100,000. By December, there were runs at Citizens Bank and Eagle Bank in January, both required substantial liquidity support.  On the 7th of February 1997 the Prime Minister announced that government would guarantee depositors’ funds in licensed deposit-taking institutions, pension funds managed by authorized institutions, and policy-holders funds in insurance companies.</t>
      </text>
    </comment>
    <comment authorId="0" ref="Q34">
      <text>
        <t xml:space="preserve">======
ID#AAAB6E83ocU
Author    (2026-05-11 17:35:34)
No public funds were used in recapizalizing small banks under the phase II restructuring. Instead they received subsidized long-term repurchase agreements, but they did not involve injection of capital nor board representation rights to the government.
Recapitalization costs include capital injections in state-owned banks (large ones) in 1998</t>
      </text>
    </comment>
    <comment authorId="0" ref="V20">
      <text>
        <t xml:space="preserve">======
ID#AAAB6E83ocY
Author    (2026-05-11 17:35:34)
Although depositors of Social Bank were fully protected</t>
      </text>
    </comment>
    <comment authorId="0" ref="H38">
      <text>
        <t xml:space="preserve">======
ID#AAAB6E83ocI
Author    (2026-05-11 17:35:34)
large depositors of the 2 closed banks received non-interest bearing bonds as a compensation for their deposits.</t>
      </text>
    </comment>
    <comment authorId="0" ref="T47">
      <text>
        <t xml:space="preserve">======
ID#AAAB6E83ocM
Author    (2026-05-11 17:35:34)
Memo for files</t>
      </text>
    </comment>
    <comment authorId="0" ref="AG45">
      <text>
        <t xml:space="preserve">======
ID#AAAB6E83ocQ
Author    (2026-05-11 17:35:34)
As of 1997</t>
      </text>
    </comment>
    <comment authorId="0" ref="BI29">
      <text>
        <t xml:space="preserve">======
ID#AAAB6E83ocE
Author    (2026-05-11 17:35:34)
Between 1997 and 2002, the SDIF took over 21 banks (20% of total). One was kept as a bridge bank, 7 were merged, 7 privatized, and However, it is worth noticing that 8 of them had been taken over before the 2000 crisis.</t>
      </text>
    </comment>
    <comment authorId="0" ref="BE6">
      <text>
        <t xml:space="preserve">======
ID#AAAB6E83ocA
Author    (2026-05-11 17:35:34)
Explicit DI introduced in 1996 with coverage limit of SEK 250000.</t>
      </text>
    </comment>
    <comment authorId="0" ref="AX34">
      <text>
        <t xml:space="preserve">======
ID#AAAB6E83ob8
Author    (2026-05-11 17:35:34)
There were no large recapitalization plans. However, liquidity support to a large institution (partially owned by the state) was capitalized in 2002.</t>
      </text>
    </comment>
    <comment authorId="0" ref="AT20">
      <text>
        <t xml:space="preserve">======
ID#AAAB6E83ob0
Author    (2026-05-11 17:35:34)
A law was passed on Jan-01, but for the first intervention, Interbank, the authorities announced a full guarantee of deposits. For the second resolution, Bancafe, a limited guarantee was announced at first, but a few days later all depositors were protected in its resolution.</t>
      </text>
    </comment>
    <comment authorId="0" ref="F27">
      <text>
        <t xml:space="preserve">======
ID#AAAB6E83ob4
Author    (2026-05-11 17:35:34)
includes Treasury support</t>
      </text>
    </comment>
    <comment authorId="0" ref="BP1">
      <text>
        <t xml:space="preserve">======
ID#AAAB6E83obw
Author    (2026-05-11 17:35:34)
Sources:
IMF wp 97/140
IMF SM/95/39
IMF SM/98/127
Krivoy R. (2000) "Collapse-The Venezuelan Banking crisis of 1994" The group of thirty, Washington D.C.</t>
      </text>
    </comment>
    <comment authorId="0" ref="K30">
      <text>
        <t xml:space="preserve">======
ID#AAAB6E83obo
Author    (2026-05-11 17:35:34)
Without a law for the insolvency of banks, in late 1995 and early 1996, the BNB removed the management of two private banks in difficulties by purchasing them for a nominal price.</t>
      </text>
    </comment>
    <comment authorId="0" ref="AU34">
      <text>
        <t xml:space="preserve">======
ID#AAAB6E83obs
Author    (2026-05-11 17:35:34)
Includes purchase of bad assets</t>
      </text>
    </comment>
    <comment authorId="0" ref="R38">
      <text>
        <t xml:space="preserve">======
ID#AAAB6E83obc
Author    (2026-05-11 17:35:34)
Bank of Cyprus was recapitalized by bailins of uninsured deposits</t>
      </text>
    </comment>
    <comment authorId="0" ref="BB27">
      <text>
        <t xml:space="preserve">======
ID#AAAB6E83obg
Author    (2026-05-11 17:35:34)
includes Treasury support</t>
      </text>
    </comment>
    <comment authorId="0" ref="H1">
      <text>
        <t xml:space="preserve">======
ID#AAAB6E83obk
Author    (2026-05-11 17:35:34)
Source: IMF Selected Issues paper SM/97/224</t>
      </text>
    </comment>
    <comment authorId="0" ref="AA27">
      <text>
        <t xml:space="preserve">======
ID#AAAB6E83obY
Author    (2026-05-11 17:35:34)
includes Treasury support</t>
      </text>
    </comment>
    <comment authorId="0" ref="AV2">
      <text>
        <t xml:space="preserve">======
ID#AAAB6E83obQ
Author    (2026-05-11 17:35:34)
First signs of problems were noticed in 1988, although it is only in October 1991 that it reached systemic proportions</t>
      </text>
    </comment>
    <comment authorId="0" ref="C9">
      <text>
        <t xml:space="preserve">======
ID#AAAB6E83obU
Author    (2026-05-11 17:35:34)
Full coverage for the first 1 million pesos and 90% thereafter</t>
      </text>
    </comment>
    <comment authorId="0" ref="AG47">
      <text>
        <t xml:space="preserve">======
ID#AAAB6E83obM
Author    (2026-05-11 17:35:34)
It includes restructuring of non-banks for 11 percent of GDP</t>
      </text>
    </comment>
    <comment authorId="0" ref="P47">
      <text>
        <t xml:space="preserve">======
ID#AAAB6E83obI
Author    (2026-05-11 17:35:34)
it includes only costs incurred since 1996.</t>
      </text>
    </comment>
    <comment authorId="0" ref="BH22">
      <text>
        <t xml:space="preserve">======
ID#AAAB6E83obE
Fabian Valencia    (2026-05-11 17:35:34)
The introduction of a formal deposit insurance scheme was approved in 2004, with the intention to gradually reduce coverage to Baht 1 million in four years. However, during the first year of its implementation, the full guarantee would still be in place.</t>
      </text>
    </comment>
    <comment authorId="0" ref="L45">
      <text>
        <t xml:space="preserve">======
ID#AAAB6E83obA
Author    (2026-05-11 17:35:34)
1986</t>
      </text>
    </comment>
    <comment authorId="0" ref="AM1">
      <text>
        <t xml:space="preserve">======
ID#AAAB6E83oa8
Author    (2026-05-11 17:35:34)
wb wp 2484
Stephan Barisitz ( 2002) "Banking in the Baltics — The Development of the Banking Systems of Estonia, Latvia and Lithuania since Independence" Austrian National Bank.</t>
      </text>
    </comment>
    <comment authorId="0" ref="W30">
      <text>
        <t xml:space="preserve">======
ID#AAAB6E83oa0
Author    (2026-05-11 17:35:34)
Skopbank and Savings bank of findland (created from the merger of 41 savings banks in problems)</t>
      </text>
    </comment>
    <comment authorId="0" ref="BJ45">
      <text>
        <t xml:space="preserve">======
ID#AAAB6E83oa4
Author    (2026-05-11 17:35:34)
as of 2002
FSSA</t>
      </text>
    </comment>
    <comment authorId="0" ref="V13">
      <text>
        <t xml:space="preserve">======
ID#AAAB6E83oaw
Author    (2026-05-11 17:35:34)
No generalized freeze, although three problem banks delayed payments for 3 weeks.</t>
      </text>
    </comment>
    <comment authorId="0" ref="N34">
      <text>
        <t xml:space="preserve">======
ID#AAAB6E83oak
Author    (2026-05-11 17:35:34)
It includes capitalizations of public and intervened institutions.</t>
      </text>
    </comment>
    <comment authorId="0" ref="D45">
      <text>
        <t xml:space="preserve">======
ID#AAAB6E83oao
Author    (2026-05-11 17:35:34)
as of 1995</t>
      </text>
    </comment>
    <comment authorId="0" ref="M30">
      <text>
        <t xml:space="preserve">======
ID#AAAB6E83oas
Author    (2026-05-11 17:35:34)
6 major banks nationalized</t>
      </text>
    </comment>
    <comment authorId="0" ref="D33">
      <text>
        <t xml:space="preserve">======
ID#AAAB6E83oac
Author    (2026-05-11 17:35:34)
A bank capitalization trust fund was created with resources from a bond issue and loans from multilaterals.</t>
      </text>
    </comment>
    <comment authorId="0" ref="D1">
      <text>
        <t xml:space="preserve">======
ID#AAAB6E83oag
Author    (2026-05-11 17:35:34)
Main sources: IMF SM/98/20, IMF wp 97/140</t>
      </text>
    </comment>
    <comment authorId="0" ref="A32">
      <text>
        <t xml:space="preserve">======
ID#AAAB6E83oaY
Author    (2026-05-11 17:35:34)
0: No AMC; 1: Centralized; 2: Decentralized</t>
      </text>
    </comment>
    <comment authorId="0" ref="BP29">
      <text>
        <t xml:space="preserve">======
ID#AAAB6E83oaQ
Author    (2026-05-11 17:35:34)
19 banks were either closed or nationalized, with closures reaching 23% of total assets and nationalizations 28.2%</t>
      </text>
    </comment>
    <comment authorId="0" ref="AD6">
      <text>
        <t xml:space="preserve">======
ID#AAAB6E83oaU
Author    (2026-05-11 17:35:34)
Explicit DI (blanket guarantee) introduced in 1998</t>
      </text>
    </comment>
    <comment authorId="0" ref="AW45">
      <text>
        <t xml:space="preserve">======
ID#AAAB6E83oaM
Author    (2026-05-11 17:35:34)
1997
(at public banks it reached 32% in 1998)</t>
      </text>
    </comment>
    <comment authorId="0" ref="M45">
      <text>
        <t xml:space="preserve">======
ID#AAAB6E83oaE
Author    (2026-05-11 17:35:34)
estimate from staff report.</t>
      </text>
    </comment>
    <comment authorId="0" ref="V6">
      <text>
        <t xml:space="preserve">======
ID#AAAB6E83oaI
Author    (2026-05-11 17:35:34)
Explicit DI introduced in 1998 with coverage limit of EKK 20000</t>
      </text>
    </comment>
    <comment authorId="0" ref="BO36">
      <text>
        <t xml:space="preserve">======
ID#AAAB6E83oaA
Author    (2026-05-11 17:35:34)
proceedings from sale of bridge bank NBC</t>
      </text>
    </comment>
    <comment authorId="0" ref="BE36">
      <text>
        <t xml:space="preserve">======
ID#AAAB6E83oZ8
Author    (2026-05-11 17:35:34)
This number increases to 1.27% if the value (as of 1996) of the state shares at Nordbanken is included</t>
      </text>
    </comment>
    <comment authorId="0" ref="T20">
      <text>
        <t xml:space="preserve">======
ID#AAAB6E83oZ0
Author    (2026-05-11 17:35:34)
There was no blanket guarantee. However, when Baninter was intervened (and similar approach was followed for Mercantil and Bancredito), the authorities announced full protection for registered deposits. Ultimately, everyone was covered and paid with Central Bank Certificates.</t>
      </text>
    </comment>
    <comment authorId="0" ref="AT45">
      <text>
        <t xml:space="preserve">======
ID#AAAB6E83oZ4
Author    (2026-05-11 17:35:34)
Dec/2003
FSSA (2004)</t>
      </text>
    </comment>
    <comment authorId="0" ref="AM45">
      <text>
        <t xml:space="preserve">======
ID#AAAB6E83oZw
Author    (2026-05-11 17:35:34)
1996</t>
      </text>
    </comment>
    <comment authorId="0" ref="BO15">
      <text>
        <t xml:space="preserve">======
ID#AAAB6E83oZs
Fabian Valencia    (2026-05-11 17:35:34)
Deposits reprogrammed over a 3-year horizon</t>
      </text>
    </comment>
    <comment authorId="0" ref="AT1">
      <text>
        <t xml:space="preserve">======
ID#AAAB6E83oZg
Author    (2026-05-11 17:35:34)
Central Bank of Nicaragua's report on the 2000-2001 crisis and Superintendency's reports</t>
      </text>
    </comment>
    <comment authorId="0" ref="Z1">
      <text>
        <t xml:space="preserve">======
ID#AAAB6E83oZk
Author    (2026-05-11 17:35:34)
Source: IMF Recent Economic Developments 1984-86 and 1992</t>
      </text>
    </comment>
    <comment authorId="0" ref="BQ45">
      <text>
        <t xml:space="preserve">======
ID#AAAB6E83oZo
Author    (2026-05-11 17:35:34)
as of 1997
IMF SM/00/153</t>
      </text>
    </comment>
    <comment authorId="0" ref="AH1">
      <text>
        <t xml:space="preserve">======
ID#AAAB6E83oZc
Author    (2026-05-11 17:35:34)
Main sources: BIS papers No. 6  "The financial crisis in Japan during the 1990's: how the BOJ responded and the lessons learnt".
Financial Services Agency's website</t>
      </text>
    </comment>
    <comment authorId="0" ref="AO1">
      <text>
        <t xml:space="preserve">======
ID#AAAB6E83oZU
Author    (2026-05-11 17:35:34)
Sources: Selected issues paper 2004  SM/04/18 and EBS/99/154</t>
      </text>
    </comment>
    <comment authorId="0" ref="BJ47">
      <text>
        <t xml:space="preserve">======
ID#AAAB6E83oZY
Author    (2026-05-11 17:35:34)
no significant restructuring was implemented</t>
      </text>
    </comment>
    <comment authorId="0" ref="AM38">
      <text>
        <t xml:space="preserve">======
ID#AAAB6E83oZQ
Author    (2026-05-11 17:35:34)
May 1996: depositors of Litimpex Bank had their deposits converted to equity.
Sept 1996: depositors of Vakaru and Aura Bank were compensated in cash through the
emergency deposit law on retroactive compensation.
1997 and 1998: depositors of Innovation Bank which had its license revoked (summer
1997) received minimal cash compensation (Lt.4000 in 1997 and Lt.4000 in 1998 per
person) and non-interest-bearing government bonds ( 5 year maturity) payable in 3 annual
installments beginning in 1999; legal entities received non-tradable, non-interest bearing
notes for entire claims (10 year maturity), payable in 5 annual installments beginning no
earlier than 2002; certain public organizations, embassies, charities, etc received cash
during 1998; other creditors received their pari-passu share of residual funds left from
collection of Innovation Bank’s assets; government deposits were written off.
1997: depositors of Tauro Bank were compensated out of DIS fund.
1998: State Commercial Bank was liquidated; deposits were transferred to Savings Bank.</t>
      </text>
    </comment>
    <comment authorId="0" ref="K38">
      <text>
        <t xml:space="preserve">======
ID#AAAB6E83oZE
Author    (2026-05-11 17:35:34)
household
deposits and half of enterprise deposits were fully guaranteed;</t>
      </text>
    </comment>
    <comment authorId="0" ref="BI47">
      <text>
        <t xml:space="preserve">======
ID#AAAB6E83oZI
Author    (2026-05-11 17:35:34)
IMF SM/04/247</t>
      </text>
    </comment>
    <comment authorId="0" ref="P45">
      <text>
        <t xml:space="preserve">======
ID#AAAB6E83oZM
Author    (2026-05-11 17:35:34)
IMF selected issues paper, 1998</t>
      </text>
    </comment>
    <comment authorId="0" ref="L31">
      <text>
        <t xml:space="preserve">======
ID#AAAB6E83oZA
Author    (2026-05-11 17:35:34)
As part of a recapitalization plan, there were purchases of loans by the Central Bank. However, the management of those loans stayed with each bank.</t>
      </text>
    </comment>
    <comment authorId="0" ref="AB27">
      <text>
        <t xml:space="preserve">======
ID#AAAB6E83oY8
Author    (2026-05-11 17:35:34)
includes Treasury support</t>
      </text>
    </comment>
    <comment authorId="0" ref="C17">
      <text>
        <t xml:space="preserve">======
ID#AAAB6E83oY0
Author    (2026-05-11 17:35:34)
during the first half of 1989, there were 8 bank holidays and 12 exchange holidays.</t>
      </text>
    </comment>
    <comment authorId="0" ref="B3">
      <text>
        <t xml:space="preserve">======
ID#AAAB6E83oY4
Author    (2026-05-11 17:35:34)
date when liq. became extensive</t>
      </text>
    </comment>
    <comment authorId="0" ref="Q45">
      <text>
        <t xml:space="preserve">======
ID#AAAB6E83oYw
Author    (2026-05-11 17:35:34)
As of 1998. It excludes loans in Consolidation Bank (the AMC).</t>
      </text>
    </comment>
    <comment authorId="0" ref="AX3">
      <text>
        <t xml:space="preserve">======
ID#AAAB6E83oYg
Author    (2026-05-11 17:35:34)
Mar 1998: Three-year Stand-By Arrangement agreed with IMF</t>
      </text>
    </comment>
    <comment authorId="0" ref="AS27">
      <text>
        <t xml:space="preserve">======
ID#AAAB6E83oYk
Author    (2026-05-11 17:35:34)
includes Treasury support</t>
      </text>
    </comment>
    <comment authorId="0" ref="V45">
      <text>
        <t xml:space="preserve">======
ID#AAAB6E83oYo
Author    (2026-05-11 17:35:34)
WB working paper 2484</t>
      </text>
    </comment>
    <comment authorId="0" ref="N37">
      <text>
        <t xml:space="preserve">======
ID#AAAB6E83oYs
Author    (2026-05-11 17:35:34)
As of 2004</t>
      </text>
    </comment>
    <comment authorId="0" ref="Z13">
      <text>
        <t xml:space="preserve">======
ID#AAAB6E83oYY
Author    (2026-05-11 17:35:34)
In early 1980's a deposit freeze of balances above cedi 50,000 was introduced, but it affected only deposits pending investigation of tax liability or fraud.</t>
      </text>
    </comment>
    <comment authorId="0" ref="T1">
      <text>
        <t xml:space="preserve">======
ID#AAAB6E83oYc
Author    (2026-05-11 17:35:34)
Source: IMF staff reports 2003, 2004 and internal memos</t>
      </text>
    </comment>
    <comment authorId="0" ref="A36">
      <text>
        <t xml:space="preserve">======
ID#AAAB6E83oYU
Author    (2026-05-11 17:35:34)
Recovery proceeds during period t to t+5, where t is the first year of the crisis</t>
      </text>
    </comment>
    <comment authorId="0" ref="AJ9">
      <text>
        <t xml:space="preserve">======
ID#AAAB6E83oYQ
Author    (2026-05-11 17:35:34)
Full guarantee introduced in 1997</t>
      </text>
    </comment>
    <comment authorId="0" ref="AK38">
      <text>
        <t xml:space="preserve">======
ID#AAAB6E83oYM
Author    (2026-05-11 17:35:34)
1995: Baltija Bank collapsed; the government promised to compensate depositors for LVL
500 ($1000) per depositor (LVL 200 in 1995 and LVL 100 over next 3 years) but
apparently extended compensation only in 1995. Ratio of coverage to GDP per capita was
only 0.6 (very low).</t>
      </text>
    </comment>
    <comment authorId="0" ref="AP34">
      <text>
        <t xml:space="preserve">======
ID#AAAB6E83oYA
Author    (2026-05-11 17:35:34)
Includes the cost of loan purchases for 3.4% of 1995 GDP, and PROCAPTE, equivalent to 7bl. In 1995</t>
      </text>
    </comment>
    <comment authorId="0" ref="AW1">
      <text>
        <t xml:space="preserve">======
ID#AAAB6E83oYE
Author    (2026-05-11 17:35:34)
Source: IMF WP 97/140
Fiscal costs from IMF SIP 2000</t>
      </text>
    </comment>
    <comment authorId="0" ref="BH21">
      <text>
        <t xml:space="preserve">======
ID#AAAB6E83oYI
Fabian Valencia    (2026-05-11 17:35:34)
July-97 for fin. Companies, and Aug-97 for banks</t>
      </text>
    </comment>
    <comment authorId="0" ref="AG31">
      <text>
        <t xml:space="preserve">======
ID#AAAB6E83oX4
Author    (2026-05-11 17:35:34)
a total of J$32bl, or 11 percent of 1998 GDP was handled by the AMC</t>
      </text>
    </comment>
    <comment authorId="0" ref="Q1">
      <text>
        <t xml:space="preserve">======
ID#AAAB6E83oX8
Author    (2026-05-11 17:35:34)
IMF staff selected issues papers: 1996, 1998, 1999</t>
      </text>
    </comment>
    <comment authorId="0" ref="R31">
      <text>
        <t xml:space="preserve">======
ID#AAAB6E83oX0
Author    (2026-05-11 17:35:34)
Laiki bank was split into a good/bad bank, with good bank transferred to Bank of Cyprus</t>
      </text>
    </comment>
    <comment authorId="0" ref="V1">
      <text>
        <t xml:space="preserve">======
ID#AAAB6E83oXw
Author    (2026-05-11 17:35:34)
IMF WP/96/134
WB WP/2484
Stephan Barisitz ( 2002) "Banking in the Baltics — The Development of the Banking Systems of Estonia, Latvia and Lithuania since Independence" Austrian National Bank.</t>
      </text>
    </comment>
    <comment authorId="0" ref="AO3">
      <text>
        <t xml:space="preserve">======
ID#AAAB6E83oXs
Author    (2026-05-11 17:35:34)
Jan 1998: Bank Negara Malaysia announces blanket guarantee for all depositors.
Mar 1998: Program to consolidate finance companies and to recapitalize commercial banks is announced.
Jun 1998: Danaharta, an asset management company, is established.
Aug 1998: Danamodal (bank restructuring and recapitalization agency) is established.</t>
      </text>
    </comment>
    <comment authorId="0" ref="V29">
      <text>
        <t xml:space="preserve">======
ID#AAAB6E83oXo
Author    (2026-05-11 17:35:34)
during the first wave, only 3 banks ran into problems. Later, about 20 smaller banks were either liquidated or merged. Social Bank, the largest bank in the country (20%) was later resolved by good bank/bad bank approach.</t>
      </text>
    </comment>
    <comment authorId="0" ref="AZ1">
      <text>
        <t xml:space="preserve">======
ID#AAAB6E83oXg
Author    (2026-05-11 17:35:34)
Source: The Bank of Russia and the 1998 Rouble Crisis 
[from Vladimir Tikhomirov (ed.), Anatomy of the 1998 Russian Crisis (Melbourne: CERC, 1999)]
Fillipo Ippolito (2002), "The Banking Sector Rescue in Russia " Bank of finland Institute for Economies in Transition.</t>
      </text>
    </comment>
    <comment authorId="0" ref="BQ33">
      <text>
        <t xml:space="preserve">======
ID#AAAB6E83oXk
Author    (2026-05-11 17:35:34)
October 1998: Recapitalization of four stateowned commercial banks by the State bank of Vietnam.</t>
      </text>
    </comment>
    <comment authorId="0" ref="AM6">
      <text>
        <t xml:space="preserve">======
ID#AAAB6E83oXU
Author    (2026-05-11 17:35:34)
Explicit DI introduced in 1996 with coverage limit of LTL 45000</t>
      </text>
    </comment>
    <comment authorId="0" ref="U9">
      <text>
        <t xml:space="preserve">======
ID#AAAB6E83oXY
Author    (2026-05-11 17:35:34)
Full coverage later in year</t>
      </text>
    </comment>
    <comment authorId="0" ref="V47">
      <text>
        <t xml:space="preserve">======
ID#AAAB6E83oXc
Author    (2026-05-11 17:35:34)
Barisitz (2002)</t>
      </text>
    </comment>
    <comment authorId="0" ref="BJ2">
      <text>
        <t xml:space="preserve">======
ID#AAAB6E83oXQ
Author    (2026-05-11 17:35:34)
Between 1995 and 1997, 32 of 195 banks were being liquidated, while 25 others were undergoing financial rehabilitation. Bad loans accounted for 50–65 percent of assets even in some leading banks. In 1998 banks were further hit by the government’s decision to restructure government debt following the Russian debt crisis. In 1998 the intervention of approximately 20 banks took place.</t>
      </text>
    </comment>
    <comment authorId="0" ref="AM27">
      <text>
        <t xml:space="preserve">======
ID#AAAB6E83oXE
Author    (2026-05-11 17:35:34)
est. &lt;4.6%</t>
      </text>
    </comment>
    <comment authorId="0" ref="I47">
      <text>
        <t xml:space="preserve">======
ID#AAAB6E83oXI
Author    (2026-05-11 17:35:34)
the costs were small</t>
      </text>
    </comment>
    <comment authorId="0" ref="AN45">
      <text>
        <t xml:space="preserve">======
ID#AAAB6E83oXM
Author    (2026-05-11 17:35:34)
IMF FSI 2016Q4</t>
      </text>
    </comment>
    <comment authorId="0" ref="B20">
      <text>
        <t xml:space="preserve">======
ID#AAAB6E83oXA
Author    (2026-05-11 17:35:34)
In Nov. 1979, Argentina went from having full guarantee on all deposits to having limited guarantee (100% for the first US$686, 90% thereafter). However, with the problems that started in March 1980, the threshold was raised p to US$56000, increasing the coverage substantially. (The revised limits in 1995 were US$30,000).</t>
      </text>
    </comment>
    <comment authorId="0" ref="P34">
      <text>
        <t xml:space="preserve">======
ID#AAAB6E83oW8
Author    (2026-05-11 17:35:34)
Includes only amounts related to recapitalization of banks that ran into problems in 98/99, and therefore the recap costs (6.1% of GDP) incurred during 96-97 to address problems at the 4 large state-owned banks are not included</t>
      </text>
    </comment>
    <comment authorId="0" ref="AC48">
      <text>
        <t xml:space="preserve">======
ID#AAAB6E83oW4
Author    (2026-05-11 17:35:34)
includes recoveries as of 2016</t>
      </text>
    </comment>
    <comment authorId="0" ref="T7">
      <text>
        <t xml:space="preserve">======
ID#AAAB6E83oW0
Author    (2026-05-11 17:35:34)
FSSA says that there was no deposit insurance as of 2001, only S&amp;L were insured up to RD$200,000</t>
      </text>
    </comment>
    <comment authorId="0" ref="AJ29">
      <text>
        <t xml:space="preserve">======
ID#AAAB6E83oWw
Author    (2026-05-11 17:35:34)
5 commercial banks and  17 merchant banks were closed. 2 new commercial banks resulted from the merger of 4 commercial banks.  Similarly 2 mercant banks merged. The government intervened 11 banks in total (these categories are not mutually exclusive)</t>
      </text>
    </comment>
    <comment authorId="0" ref="AG6">
      <text>
        <t xml:space="preserve">======
ID#AAAB6E83oWs
Author    (2026-05-11 17:35:34)
Explicit DI introduced in 1998 with coverage limit of J$ 200000</t>
      </text>
    </comment>
    <comment authorId="0" ref="E1">
      <text>
        <t xml:space="preserve">======
ID#AAAB6E83oWo
Author    (2026-05-11 17:35:34)
Source: IMF staff report 2002, Letter of intend 2003, first and second reviews 2004. Central Bank reports</t>
      </text>
    </comment>
  </commentList>
  <extLst>
    <ext uri="GoogleSheetsCustomDataVersion2">
      <go:sheetsCustomData xmlns:go="http://customooxmlschemas.google.com/" r:id="rId1" roundtripDataSignature="AMtx7mgSEapEMwDFxvvwgj6nB3q4iVBB5g=="/>
    </ext>
  </extLst>
</comments>
</file>

<file path=xl/sharedStrings.xml><?xml version="1.0" encoding="utf-8"?>
<sst xmlns="http://schemas.openxmlformats.org/spreadsheetml/2006/main" count="1616" uniqueCount="393">
  <si>
    <t>Data file to accompany paper "Systemic Banking Crises Revisited"</t>
  </si>
  <si>
    <t>by Luc Laeven and Fabian Valencia (2018)</t>
  </si>
  <si>
    <t>Country</t>
  </si>
  <si>
    <t>Systemic Banking Crisis (starting date)</t>
  </si>
  <si>
    <t>Albania</t>
  </si>
  <si>
    <t>Algeria</t>
  </si>
  <si>
    <t>Angola</t>
  </si>
  <si>
    <t>Argentina</t>
  </si>
  <si>
    <t>1980, 1989, 1995, 2001</t>
  </si>
  <si>
    <t>Armenia</t>
  </si>
  <si>
    <t>Australia</t>
  </si>
  <si>
    <t>Austria</t>
  </si>
  <si>
    <t>Azerbaijan</t>
  </si>
  <si>
    <t>Bangladesh</t>
  </si>
  <si>
    <t>Barbados</t>
  </si>
  <si>
    <t>Belarus</t>
  </si>
  <si>
    <t>Belgium</t>
  </si>
  <si>
    <t>Belize</t>
  </si>
  <si>
    <t>Benin</t>
  </si>
  <si>
    <t xml:space="preserve">Bhutan              </t>
  </si>
  <si>
    <t>Bolivia</t>
  </si>
  <si>
    <t>1986, 1994</t>
  </si>
  <si>
    <t>Bosnia and Herzegovina</t>
  </si>
  <si>
    <t>Botswana</t>
  </si>
  <si>
    <t>Brazil</t>
  </si>
  <si>
    <t>1990, 1994</t>
  </si>
  <si>
    <t>Brunei</t>
  </si>
  <si>
    <t>Bulgaria</t>
  </si>
  <si>
    <t>Burkina Faso</t>
  </si>
  <si>
    <t>Burundi</t>
  </si>
  <si>
    <t xml:space="preserve">Cambodia            </t>
  </si>
  <si>
    <t>Cameroon</t>
  </si>
  <si>
    <t>1987, 1995</t>
  </si>
  <si>
    <t>Canada</t>
  </si>
  <si>
    <t>Cape Verde</t>
  </si>
  <si>
    <t>Central African Rep.</t>
  </si>
  <si>
    <t>1976, 1995</t>
  </si>
  <si>
    <t>Chad</t>
  </si>
  <si>
    <t>1983, 1992</t>
  </si>
  <si>
    <t>Chile</t>
  </si>
  <si>
    <t>1976, 1981</t>
  </si>
  <si>
    <t>China, P.R.</t>
  </si>
  <si>
    <t>Colombia</t>
  </si>
  <si>
    <t>1982, 1998</t>
  </si>
  <si>
    <t xml:space="preserve">Comoros             </t>
  </si>
  <si>
    <t>Congo, Dem. Rep. of</t>
  </si>
  <si>
    <t>1983, 1991, 1994</t>
  </si>
  <si>
    <t>Congo, Rep. of</t>
  </si>
  <si>
    <t>Costa Rica</t>
  </si>
  <si>
    <t>1987, 1994</t>
  </si>
  <si>
    <t>Côte d’Ivoire</t>
  </si>
  <si>
    <t>Croatia</t>
  </si>
  <si>
    <t>Czech Republic</t>
  </si>
  <si>
    <t>Cyprus</t>
  </si>
  <si>
    <t>Denmark</t>
  </si>
  <si>
    <t>Djibouti</t>
  </si>
  <si>
    <t>Dominica</t>
  </si>
  <si>
    <t>Dominican Republic</t>
  </si>
  <si>
    <t>Ecuador</t>
  </si>
  <si>
    <t>Egypt</t>
  </si>
  <si>
    <t>El Salvador</t>
  </si>
  <si>
    <t>Equatorial Guinea</t>
  </si>
  <si>
    <t>Eritrea</t>
  </si>
  <si>
    <t>Estonia</t>
  </si>
  <si>
    <t xml:space="preserve">Ethiopia            </t>
  </si>
  <si>
    <t xml:space="preserve">Fiji                </t>
  </si>
  <si>
    <t>Finland</t>
  </si>
  <si>
    <t>France</t>
  </si>
  <si>
    <t>Gabon</t>
  </si>
  <si>
    <t>Gambia, The</t>
  </si>
  <si>
    <t>Georgia</t>
  </si>
  <si>
    <t>Germany</t>
  </si>
  <si>
    <t>Ghana</t>
  </si>
  <si>
    <t>Greece</t>
  </si>
  <si>
    <t>Grenada</t>
  </si>
  <si>
    <t>Guatemala</t>
  </si>
  <si>
    <t>Guinea</t>
  </si>
  <si>
    <t>1985, 1993</t>
  </si>
  <si>
    <t>Guinea-Bissau</t>
  </si>
  <si>
    <t>1995, 2014</t>
  </si>
  <si>
    <t xml:space="preserve">Guyana              </t>
  </si>
  <si>
    <t xml:space="preserve">Haiti               </t>
  </si>
  <si>
    <t xml:space="preserve">Honduras               </t>
  </si>
  <si>
    <t>China, P.R.: Hong Kong</t>
  </si>
  <si>
    <t>Hungary</t>
  </si>
  <si>
    <t>1991, 2008</t>
  </si>
  <si>
    <t>Iceland</t>
  </si>
  <si>
    <t>India</t>
  </si>
  <si>
    <t>Indonesia</t>
  </si>
  <si>
    <t>Iran, I.R. of</t>
  </si>
  <si>
    <t>Ireland</t>
  </si>
  <si>
    <t>Israel</t>
  </si>
  <si>
    <t>Italy</t>
  </si>
  <si>
    <t>Jamaica</t>
  </si>
  <si>
    <t>Japan</t>
  </si>
  <si>
    <t>Jordan</t>
  </si>
  <si>
    <t xml:space="preserve">Kazakhstan          </t>
  </si>
  <si>
    <t>Kenya</t>
  </si>
  <si>
    <t>1985, 1992</t>
  </si>
  <si>
    <t>Korea</t>
  </si>
  <si>
    <t>Kuwait</t>
  </si>
  <si>
    <t xml:space="preserve">Kyrgyz Republic     </t>
  </si>
  <si>
    <t>Lao People’s Dem. Rep.</t>
  </si>
  <si>
    <t>Latvia</t>
  </si>
  <si>
    <t>1995, 2008</t>
  </si>
  <si>
    <t>Lebanon</t>
  </si>
  <si>
    <t>Lesotho</t>
  </si>
  <si>
    <t>Liberia</t>
  </si>
  <si>
    <t xml:space="preserve">Libya               </t>
  </si>
  <si>
    <t>Lithuania</t>
  </si>
  <si>
    <t>Luxembourg</t>
  </si>
  <si>
    <t>Macedonia</t>
  </si>
  <si>
    <t>Madagascar</t>
  </si>
  <si>
    <t>Malawi</t>
  </si>
  <si>
    <t>Malaysia</t>
  </si>
  <si>
    <t xml:space="preserve">Maldives            </t>
  </si>
  <si>
    <t>Mali</t>
  </si>
  <si>
    <t>Mauritania</t>
  </si>
  <si>
    <t>Mauritius</t>
  </si>
  <si>
    <t>Mexico</t>
  </si>
  <si>
    <t>1981, 1994</t>
  </si>
  <si>
    <t xml:space="preserve">Moldova             </t>
  </si>
  <si>
    <t xml:space="preserve">Mongolia            </t>
  </si>
  <si>
    <t>Morocco</t>
  </si>
  <si>
    <t>Mozambique</t>
  </si>
  <si>
    <t>Myanmar</t>
  </si>
  <si>
    <t xml:space="preserve">Namibia             </t>
  </si>
  <si>
    <t>Nepal</t>
  </si>
  <si>
    <t>Netherlands</t>
  </si>
  <si>
    <t>New Caledonia</t>
  </si>
  <si>
    <t>New Zealand</t>
  </si>
  <si>
    <t>Nicaragua</t>
  </si>
  <si>
    <t>1990, 2000</t>
  </si>
  <si>
    <t>Niger</t>
  </si>
  <si>
    <t>Nigeria</t>
  </si>
  <si>
    <t>1991, 2009</t>
  </si>
  <si>
    <t>Norway</t>
  </si>
  <si>
    <t>Pakistan</t>
  </si>
  <si>
    <t>Panama</t>
  </si>
  <si>
    <t>Papua New Guinea</t>
  </si>
  <si>
    <t>Paraguay</t>
  </si>
  <si>
    <t>Peru</t>
  </si>
  <si>
    <t>Philippines</t>
  </si>
  <si>
    <t>1983, 1997</t>
  </si>
  <si>
    <t>Poland</t>
  </si>
  <si>
    <t>Portugal</t>
  </si>
  <si>
    <t>Romania</t>
  </si>
  <si>
    <t>Russia</t>
  </si>
  <si>
    <t>1998, 2008</t>
  </si>
  <si>
    <t>Rwanda</t>
  </si>
  <si>
    <t>St. Kitts and Nevis</t>
  </si>
  <si>
    <t>São Tomé and Principe</t>
  </si>
  <si>
    <t>Senegal</t>
  </si>
  <si>
    <t>Serbia, Republic of</t>
  </si>
  <si>
    <t>Seychelles</t>
  </si>
  <si>
    <t>Sierra Leone</t>
  </si>
  <si>
    <t>Singapore</t>
  </si>
  <si>
    <t>Slovak Republic</t>
  </si>
  <si>
    <t>Slovenia</t>
  </si>
  <si>
    <t>1992, 2008</t>
  </si>
  <si>
    <t>South Africa</t>
  </si>
  <si>
    <t>South Sudan</t>
  </si>
  <si>
    <t>Spain</t>
  </si>
  <si>
    <t>1977, 2008</t>
  </si>
  <si>
    <t>Sri Lanka</t>
  </si>
  <si>
    <t>Sudan</t>
  </si>
  <si>
    <t>Suriname</t>
  </si>
  <si>
    <t>Swaziland</t>
  </si>
  <si>
    <t>Sweden</t>
  </si>
  <si>
    <t>Syrian Arab Republic</t>
  </si>
  <si>
    <t>Switzerland</t>
  </si>
  <si>
    <t>Tajikistan</t>
  </si>
  <si>
    <t>Tanzania</t>
  </si>
  <si>
    <t>Thailand</t>
  </si>
  <si>
    <t>Togo</t>
  </si>
  <si>
    <t>Trinidad and Tobago</t>
  </si>
  <si>
    <t>Tunisia</t>
  </si>
  <si>
    <t>Turkey</t>
  </si>
  <si>
    <t>1982, 2000</t>
  </si>
  <si>
    <t>Turkmenistan</t>
  </si>
  <si>
    <t>Uganda</t>
  </si>
  <si>
    <t>Ukraine</t>
  </si>
  <si>
    <t>1998, 2008, 2014</t>
  </si>
  <si>
    <t>United Kingdom</t>
  </si>
  <si>
    <t>United States</t>
  </si>
  <si>
    <t>1988, 2007</t>
  </si>
  <si>
    <t>Uruguay</t>
  </si>
  <si>
    <t>1981, 2002</t>
  </si>
  <si>
    <t>Uzbekistan</t>
  </si>
  <si>
    <t>Venezuela</t>
  </si>
  <si>
    <t>Vietnam</t>
  </si>
  <si>
    <t>Yemen</t>
  </si>
  <si>
    <t>Yugoslavia, SFR</t>
  </si>
  <si>
    <t>Zambia</t>
  </si>
  <si>
    <t>Zimbabwe</t>
  </si>
  <si>
    <t>Year</t>
  </si>
  <si>
    <t>Banking crisis (number)</t>
  </si>
  <si>
    <t>Currency crisis (number)</t>
  </si>
  <si>
    <t>Sovereign debt crisis (number)</t>
  </si>
  <si>
    <t>Twin crisis (number) 1/</t>
  </si>
  <si>
    <t>Triple crisis (number) 2/</t>
  </si>
  <si>
    <t>Total</t>
  </si>
  <si>
    <t>1/ Twin crisis indicates banking crisis in year t and currency crisis during [t-1, t+1]. 2/ Triple crisis indicates banking crisis in year t and currency crisis during [t-1, t+1] and debt crisis during [t-1, t+1].</t>
  </si>
  <si>
    <t>Start</t>
  </si>
  <si>
    <t>End</t>
  </si>
  <si>
    <r>
      <rPr>
        <rFont val="Times New Roman"/>
        <b/>
        <color theme="1"/>
        <sz val="9.0"/>
      </rPr>
      <t>Output loss</t>
    </r>
    <r>
      <rPr>
        <rFont val="Times New Roman"/>
        <b/>
        <color theme="1"/>
        <sz val="9.0"/>
        <vertAlign val="superscript"/>
      </rPr>
      <t xml:space="preserve"> </t>
    </r>
  </si>
  <si>
    <r>
      <rPr>
        <rFont val="Times New Roman"/>
        <b/>
        <color theme="1"/>
        <sz val="9.0"/>
      </rPr>
      <t>Fiscal Costs</t>
    </r>
    <r>
      <rPr>
        <rFont val="Times New Roman"/>
        <b/>
        <color theme="1"/>
        <sz val="9.0"/>
        <vertAlign val="superscript"/>
      </rPr>
      <t xml:space="preserve"> 
</t>
    </r>
    <r>
      <rPr>
        <rFont val="Times New Roman"/>
        <b/>
        <color theme="1"/>
        <sz val="9.0"/>
      </rPr>
      <t>(% of GDP)</t>
    </r>
  </si>
  <si>
    <r>
      <rPr>
        <rFont val="Times New Roman"/>
        <b/>
        <color theme="1"/>
        <sz val="9.0"/>
      </rPr>
      <t>Fiscal Costs, net</t>
    </r>
    <r>
      <rPr>
        <rFont val="Times New Roman"/>
        <b/>
        <color theme="1"/>
        <sz val="9.0"/>
        <vertAlign val="superscript"/>
      </rPr>
      <t xml:space="preserve"> 
</t>
    </r>
    <r>
      <rPr>
        <rFont val="Times New Roman"/>
        <b/>
        <color theme="1"/>
        <sz val="9.0"/>
      </rPr>
      <t>(% of GDP)</t>
    </r>
  </si>
  <si>
    <t>Fiscal cost
(% of financial sector assets)</t>
  </si>
  <si>
    <r>
      <rPr>
        <rFont val="Times New Roman"/>
        <b/>
        <color theme="1"/>
        <sz val="9.0"/>
      </rPr>
      <t>Peak liquidity</t>
    </r>
    <r>
      <rPr>
        <rFont val="Times New Roman"/>
        <b/>
        <color theme="1"/>
        <sz val="9.0"/>
        <vertAlign val="superscript"/>
      </rPr>
      <t xml:space="preserve"> </t>
    </r>
  </si>
  <si>
    <r>
      <rPr>
        <rFont val="Times New Roman"/>
        <b/>
        <color theme="1"/>
        <sz val="9.0"/>
      </rPr>
      <t>Liquidity support</t>
    </r>
    <r>
      <rPr>
        <rFont val="Times New Roman"/>
        <b/>
        <color theme="1"/>
        <sz val="9.0"/>
        <vertAlign val="superscript"/>
      </rPr>
      <t xml:space="preserve"> </t>
    </r>
  </si>
  <si>
    <r>
      <rPr>
        <rFont val="Times New Roman"/>
        <b/>
        <color theme="1"/>
        <sz val="9.0"/>
      </rPr>
      <t>Peak NPLs</t>
    </r>
    <r>
      <rPr>
        <rFont val="Times New Roman"/>
        <b/>
        <color theme="1"/>
        <sz val="9.0"/>
        <vertAlign val="superscript"/>
      </rPr>
      <t xml:space="preserve"> </t>
    </r>
  </si>
  <si>
    <r>
      <rPr>
        <rFont val="Times New Roman"/>
        <b/>
        <color theme="1"/>
        <sz val="9.0"/>
      </rPr>
      <t>Increase in public debt</t>
    </r>
    <r>
      <rPr>
        <rFont val="Times New Roman"/>
        <b/>
        <color theme="1"/>
        <sz val="9.0"/>
        <vertAlign val="superscript"/>
      </rPr>
      <t xml:space="preserve"> </t>
    </r>
  </si>
  <si>
    <t>…</t>
  </si>
  <si>
    <t>...</t>
  </si>
  <si>
    <t xml:space="preserve">Argentina </t>
  </si>
  <si>
    <t xml:space="preserve">Armenia </t>
  </si>
  <si>
    <t xml:space="preserve">Azerbaijan </t>
  </si>
  <si>
    <t xml:space="preserve">Belarus </t>
  </si>
  <si>
    <t xml:space="preserve">Bosnia and Herzegovina </t>
  </si>
  <si>
    <t xml:space="preserve">1996 </t>
  </si>
  <si>
    <t xml:space="preserve">Brazil </t>
  </si>
  <si>
    <t>Central African Rep</t>
  </si>
  <si>
    <t>China, Mainland</t>
  </si>
  <si>
    <t>Congo, Dem Rep</t>
  </si>
  <si>
    <t>Congo, Rep</t>
  </si>
  <si>
    <t>Cote d'Ivoire</t>
  </si>
  <si>
    <t xml:space="preserve">Croatia </t>
  </si>
  <si>
    <t xml:space="preserve">Czech Republic </t>
  </si>
  <si>
    <t>Dominican Rep</t>
  </si>
  <si>
    <t xml:space="preserve">Estonia </t>
  </si>
  <si>
    <t xml:space="preserve">France </t>
  </si>
  <si>
    <t xml:space="preserve">Georgia </t>
  </si>
  <si>
    <t>ongoing</t>
  </si>
  <si>
    <t>Guyana</t>
  </si>
  <si>
    <t>Haiti</t>
  </si>
  <si>
    <t xml:space="preserve">Hungary </t>
  </si>
  <si>
    <t xml:space="preserve">2001 </t>
  </si>
  <si>
    <t xml:space="preserve">Kazakhstan </t>
  </si>
  <si>
    <t xml:space="preserve">Kyrgyz Rep </t>
  </si>
  <si>
    <t xml:space="preserve">Latvia </t>
  </si>
  <si>
    <t xml:space="preserve">Lithuania </t>
  </si>
  <si>
    <t xml:space="preserve">Macedonia, FYR </t>
  </si>
  <si>
    <t>Moldova</t>
  </si>
  <si>
    <t>Mongolia</t>
  </si>
  <si>
    <t xml:space="preserve">Philippines </t>
  </si>
  <si>
    <t xml:space="preserve">Poland </t>
  </si>
  <si>
    <t xml:space="preserve">Portugal </t>
  </si>
  <si>
    <t xml:space="preserve">Romania </t>
  </si>
  <si>
    <t xml:space="preserve">Russia </t>
  </si>
  <si>
    <t>São Tomé &amp; Príncipe</t>
  </si>
  <si>
    <t>Slovak Rep</t>
  </si>
  <si>
    <t xml:space="preserve">Slovenia </t>
  </si>
  <si>
    <t xml:space="preserve">Sweden </t>
  </si>
  <si>
    <t xml:space="preserve">Switzerland </t>
  </si>
  <si>
    <t xml:space="preserve">Ukraine </t>
  </si>
  <si>
    <t xml:space="preserve">United States </t>
  </si>
  <si>
    <t>Country name</t>
  </si>
  <si>
    <t>Kazakhstan</t>
  </si>
  <si>
    <t xml:space="preserve">Banking crisis start date </t>
  </si>
  <si>
    <t>1988</t>
  </si>
  <si>
    <t>Date when crisis became systemic</t>
  </si>
  <si>
    <t xml:space="preserve">Brief description of crisis </t>
  </si>
  <si>
    <t xml:space="preserve">A banking crisis erupted in March 1980 as a number of financial institutions overextended themselves and were forced to rely heavily on Central Bank financial assistance when faced with deposit withdrawals. The failed institutions included the largest investment bank and the second largest private commercial bank. More than 70 institutions—accounting for 16 percent of commercial bank assets and 35 percent of finance company assets—were liquidated or subjected to central bank intervention. In total, the system shrunk by 86 financial institutions between 1980 and 1982. To a large extent, the crisis was induced by private entities, unable to honor their financial commitments, similar to what happened in other countries in the region. Borrowers were aided by extensions of exchange rate guarantees and debt restructuring. The consequence was a severe economic crisis. Real GDP reached, by 1982, a cumulative decline of 10 percent. With the sharp increase in factor payments abroad and the deterioration in the terms of trade, real per capita income reached its lowest level in about ten years. Inflation increased sharply, investment, real wages, and industrial employment plummetted.  </t>
  </si>
  <si>
    <t>During the 1980s, a decline in the availability of external resources led to an increased recourse to domestic financing. Despite the use of various devices, the Government found it increasingly difficult to place securities in the market and had to rely on financing from the Central Bank. To fund its credit operations the Central Bank imposed reserve and investment requirements on deposits. They were replaced by frozen deposits at the Central Bank in several occasions, e.g., in October 1980 and in August 1988. In addition, central bank debt grew through the issuance of short-term paper (CEDEPS) to financial entities for purposes of monetary control. The deterioration of the fiscal situation during the first half of 1989 resulted in increasing pressure on the Central Bank to accommodate the borrowing needs of the nonfinancial public sector, particularly as new debt sales fell short of the maturities falling due. The Central Bank accelerated its placement of CEDEPS which by midyear were being issued to finance interest payments on the Central Bank's own debt. On January 1, 1990, the Government announced the bond conversion of time deposits and public sector debt coming due in 1990 (BONEX 89). The debt conversion brought a brief period of calm, but flight from the austral reappeared in mid-January. At the same time, the central bank kept liquidity tight and by end-February interest rates reached over 1000 percent a mongth for 7-day term deposits. A new economic package was announced in March 1990 bringing some calm to the system, until convertibility was adopted a year later.</t>
  </si>
  <si>
    <t>The convertibility plan implemented since early 1991 brought about a process of remonetization and re-intermediation, aided by the elimination of taxes on financial transactions and by the gradual reduction and harmoniation of reserve requirements. As a result, deposits and external lines of credit surged, leading to a rapid increase in bank credit. At the same time, the economy expanded robustly, but the real exchange rate appreciated and the current account deficit increased. The banking industry was highly segmented, with the state-owned provincial banks suffering from high non-performing loans as they were used as an important source of funds for financing the provincial governments' deficits. With the Mexican devaluation, a small bond trader experienced a liquidity squeeze pushing it to closure by mid January, 1995. This development persuaded most banks to cut credit to bond traders, which in turn affected banks with large bond and open trading positions. Furthermore, provincial banks were having difficulties in raising funds--problems which began even before the mexican devaluation--and people started moving funds towards larger banks, in particularly foreign, perceived as more solvent, but by March, capital flights intensified. Several measures were implemented at alleviating liquidity pressures. By end of 1995 deposits recovered to pre-crisis levels, although lending took longer than a year to recover. In the end, the fiscal cost of the crisis was small. Eight banks were suspended and three banks collapsed. Out of the 205 banks in existence as of end of 1994, 63 exited the market through mergers, absortions, or liquidation by end 1997.</t>
  </si>
  <si>
    <t>Argentina had accumulated important fiscal imbalances, and experienced a competitiveness problems following the crisis in Brazil. Restructuring of public debt and the announcement of a modification to the parity under the convertibility plan (from being pegged to the dollar, to being pegged to a basket composed of the US dollar and Euro) initiated bank runs by mid-2001, which intensified towards the second half of the year, leading to a deposit freeze, a bank holiday, riots, and major political instability in December 2001.</t>
  </si>
  <si>
    <t xml:space="preserve"> </t>
  </si>
  <si>
    <t>During 1988-94 bank credit to the private sector grew by 30 percent a year on average in U.S. dollar terms, reflecting strong growth in dollar bank deposits resulting from a reflow of flight capital and high domestic interest rates. At the same time, the prudential regulations and bank supervision were not yet strong enough to maintain the quality of bank portfolios. These difficulties were compounded at the end of 1994 and during 1995 by several financial shocks, including the failure of two institutions and the failure of Banco Boliviano Americano's (BBA) shareholders to honor the obligations of  Banco Boliviano International (BBI) offshore. These shocks induced large capital flight during January-April 1995 and August-September 1995. Other 4 banks (representing a third of the assets of the industry) were recapitalized and restructured.</t>
  </si>
  <si>
    <t>The stance of monetary policy was expansionary throughout 1988-90 and the first half of 1991. As a result, the monetary aggregates expanded rapidly: in 1988-90, the net domestic assets of the Central Bank rose by almost 1,400 percent a year while those of the banking system grew at an average rate of 1,200 percent a year. During the same period, the public increasingly reduced its holdings of financial assets in real terms: overall liquidity, including government securities held by the public, fell from the equivalent of 23 l/2 percent of GDP in December 1987 to 19 percent of GDP in June 1991. Virtually all liquidity assistance granted to financial entities went to public institutions.</t>
  </si>
  <si>
    <t>The Brazilian economy entered a new phase with the implementation of the “Plan Real” in July 1994.  The plan triggered a major process of structural changes, which aimed primarily at lowering inflation. With this process, a remonetization of the economy took place and with it, liabilities and assets of banks expanded rapidly—loans to private sector grew by 60% during the first year of the plan--despite higher reserve requirements.  At the same time a sharp deterioration in the trade account took place, to which the central bank responded by raising interest rates and imposed credit restrictions. The financial situation of banks weakened as bad loans increased noticeably and also because they lost their inflation revenues. The problems were particularly more acute at public banks. For federal banks, the ratio of loans in arrears and in liquidation to total loans increased from 15.4 percent in June 1994 to 22.4 percent at end-1995, and to slightly more than 30 percent in October 1996. For state-owned banks the ratio increased from 8 percent to almost 12 percent and more than 14 percent for the same dates. For private banks, the ratio increased from 5 percent in June 1994 to 9 percent in December 1995.  The problems in the banking sector triggered a restructuring of public banks and the resolution of private institutions. Most of the closures were medium to small-sized banks, while large banks were resolved under a “good bank/bad bank” approach.</t>
  </si>
  <si>
    <t>The 1996 banking crisis had its roots in bad loans made during 1991-1995, but the deepening insolvency of the system was not reflected in sustained liquidity problems until the second half of 1994. Two ailing state banks required ongoing refinancing from the Bulgarian National Bank (BNB) and the State Savings Bank (SSB) until they were bailed out in mid-1995. The public began to lose confidence in banks after the collapse of pyramid schemes in some cities, and in response to reports on the ill health of other banks. In late 1995 withdrawals of deposits ,especially from First Private Bank (the largest private bank), were reflected in substantial BNB refinancing and falling foreign reserves.  Contributing to the runs on banks was the announcement of a deposit insurance scheme by the BNB, where cover was for the first time explicitly limited to the equivalent of US$750 per depositor. Public fears of a blocking of foreign exchange deposits developed as BNB reserves declined, and withdrawals of foreign exchange deposits totaled almost 40% of total during 1996.</t>
  </si>
  <si>
    <t>Before 1973, the Chilean economy was characterized by hyperinflation and serious imbalances. In the following years, a stabilization plan was implemented that brought real GDP growth to 7.2% on average between 1976 and 1981, inflation was brought down to 9.5% in 1981 and unemployment lowered to 10.4% in 1980. Meanwhile, banking measures were implemented since 1973 aiming at liberalizing the financial system by eliminating interest rates controls, credit allocation controls, reserve requirements were lowered and banks privatized. As a result, credit grew rapidly and foreign borrowing increased significantly. Foreign liabilities went up from 14.4% of total in 1978 to 35.8% of total in 1982. The exchange-rate stabilization policy brougth about a significant overvaluation of the peso, tripling of the private external debt between 1979 and 1981, an increase of the current account deficit to 18.9% in 1981. By the end of 1981, a 6-year expansionary period ended abruptly. High international interest rates, a world recession, lower copper prices, and an abrupt cut of voluntary foreign credit to Latin America pushed Chile into a costly economic crisis. The problems were agravated by unsound financial practices among banks, which included substantial connected lending ranging from 12 to 45% of the total loans portfolio. The financial system was affected in two waves. The first one in 1981-82 including 11 liquidations (banks and finance companies), where all depositors were protected.  The second one in 1983, involved liquidations and rehabilitations and in the liquidation cases, domestic depositors were compensated only partially. While foreign creditors were offered the same compensation, they threatened by cutting trade credit lines and were ultimately restructured under the external debt restructuring plan.</t>
  </si>
  <si>
    <t>The concentration of ownership of the banking sector was high, which kept competition low in an environment where lending practices were unsound. During the early 1980’s, the economic downturn affected also profitability of banks. They came under pressure as the 1981 recession intensified. This, in turn, caused a sharp deterioration in asset quality through an increase in defaults. Colombia began experiencing capital outflows. Subsequent bank failures and nationalizations generated widespread decline in public confidence which led to the nationalization of 80% of the banking system.</t>
  </si>
  <si>
    <t xml:space="preserve">Capital account reversal during the first half of 1998 triggered by pressures in emerging markets led to a response from the Central Bank oriented towards defending the currency. As a result, interest rates increased sharply in real terms, harming the quality of banks' loan portfolios and putting a downward pressure on asset prices and hence on the value of collateral, especially real estate. The already weak large public banks faced a severe asset quality deterioration which spread (although in a somewhat less severe way) to private banks and other financial entities. </t>
  </si>
  <si>
    <t>The recession of 1987 and problems with the cocoa and coffee markets (main exports) substantially increased private sector's non-performing loans. These problems were aggravated by a large amount of nonperforming loans in the public enterprise sectors, the large accumulation of government payment arrears, the substantial decline in public and private deposits in the banking system, reduction in credit lines from abroad, and poor management in some banks. The Government thus initiated in late 1991 a financial sector adjustment program (PASFI) supported by a sectoral adjustment loan of the World Bank. The program provided for the rehabilitation of the commercial banking sector through the settlement of government payments arrears, the recapitalization of banks, and the adequate provisioning for their loan losses. The program also involved the liquidation of 6 banks, including the National Agricultural Development Bank (BNDA); the reform of the judicial framework for banking activities; and the restructuring of nonbank financial institutions, including the Abidjan Stock Exchange and the insurance sector.</t>
  </si>
  <si>
    <t>The introduction of a market-oriented legal framework in the early 1990s, led to significant progress in establishing a modern banking system. The banking sector expanded vigorously until end-1997. Meanwhile, the incentives for sound bank behavior had not yet been fully established, coupled with bad debt problems inherited from the old regime. These weaknesses were in part addressed with the Bank rehabilitation plan (Law of 1994) implemented in 1996-1997. Four state-owned banks, accounting for 46 percent of total bank assets (as of 1995) entered rehabilitation, with an overall cost of 6.1% of GDP.  However, a new wave of problems began in March 1998 with the failure of the 5th largest bank, Dubrovacka (5% of total assets). Problems at this bank triggered political turmoil, which in turn induced runs at other banks, perceived indirectly related to Dubrovacka. In july 1998, the sixth largest bank ran into problems and several medium- and small-sized institutions experienced liquidity difficulties in the fall of 1998 and early 1999 as well.</t>
  </si>
  <si>
    <t>Following the transition from a central-planning system, Czech Republic embarked on a first phase of bank rehabilitation during 91-93, characterized by consolidation and strengthening of large banks through purchase of bad assets by the bank restructuring agency (Consolidation Bank).  However, not all problems were addressed and in 1994 a small bank failed (Banka Bohemia), due to fraud. While all depositors were covered, a partial deposit insurance coverage was introduced shortly after this first failure. The likelihood of facing material losses triggered runs at other small banks, until by the end of 1995 2 small banks failed (ceska and AB Banka), which triggered a second phase of bank restructuring, aimed at 18 small banks (9% of industry's assets).</t>
  </si>
  <si>
    <t>Bank asset quality deteriorated as the real estate boom turned to bust and growth came to a halt. Furthermore, banks in Cyprus were heavily exposed to Greece with banks’ holdings of Greek loans and Greek government bonds amounting to about 130 percent and 40 percent of Cyprus’s GDP respectively at end-June 2011. The intensification of the Greek crisis led to an erosion of confidence in Cypriot banks and the sovereign, which lost market access in May 2011. The banks experienced deposit outflows as discussions on a restructuring of Greek debt started in mid-2011 and had to resort to emergency liquidity assistance from the Central Bank of Cyprus. As a result of the Greek debt restructuring, BoC and Laiki suffered combined losses of 25 percent of GDP. BoC managed to attract capital to cover for the loss, Laiki required public support of €2 billion (10 percent of GDP) in 2012. In early 2013, an independent due-diligence bottom-up assessment of banks’ loan books found that both Laiki and BoC were economically insolvent. Total capital needs of the sector were estimated at above €10 billion (60 percent of GDP). The authorities resorted later to imposing a bank holiday and deposit freezes and further recapitalizations to restore financial stability.</t>
  </si>
  <si>
    <t xml:space="preserve">In late 2002, a large Bank, Baninter, begins having liquidity problems and requests assistance from the Central Bank. Withdrawals intensified throughout the first quarter of 2003 until the bank was intervened in early april. A due dilligence on the bank revealed a large amount of unregistered deposits, in an amount that implied that Baninter's size was more than three times its declared size. Fearing widespread runs on other banks, the authorities announced that all legitimate deposits would be covered, by swapping them with Central Bank Certificates, ultimately, all depositors including those of the offshore affiliate were covered. The collapse of Baninter triggered runs at two other smaller banks Bancredito and Mercantil, rumored to have being engaged in similar fraudulent activities. The good assets of the banks were sold a few months later. The massive liquidity support provided to Baninter (15% of GDP) and the other two banks implied a substantial monetary expansion that led to a significant decline in the value of the currency.  As a consequence, public sector debt increased in about 20 percentage points of GDP. </t>
  </si>
  <si>
    <t>Starting in the early 1995 and following a string of exogenous events (most notably the hostilities with Peru, domestic political problems, and the “tequila” crisis), Ecuador experienced a stop and reversal of capital inflows, which triggered financial  instability and dived the country into a period of economic stagnation, featuring increasing macroeconomic imbalances, in a great extent correlated with the evolution of the external oil prices. In this environment, macroeconomic performance deteriorated during the second half of the decade creating conditions that contributed decisively to the late 1990s financial crisis. The spark was the failure of a small bank in April 1998, which triggered runs on other banks. It gained momentum in August when another bank failed, followed by the request of liquidity assistance from the largest bank. 16 out of 40 banks ran into problems, including most of the largest institutions.</t>
  </si>
  <si>
    <t>After establishing the currency board, the environment for banking business in Estonia changed significantly. In the fall of 1992, a number of banks became illiquid. Eesti Pank provided liquidity assistance at first, but later in November decided to suspend the operations of the three largest banks (30 percent of the system).  The causes varied: Tartu Commercial Bank had engaged in substantial connected lending, ending in insolvency; Northern Estonian Bank and Union Baltic Bank had their assets frozen at the Vneshekonombank in Moscow. Tartu Commercial Bank was closed and liquidated whereas the other two credit institutions were merged and recapitalized by the government. The new entity was called North Estonia Bank. After these measures, the system remained unstable in 1993, but serious problems only showed up in smaller banks. 20 small credit institutions were either liquidated or merged. The total number of Estonian credit institutions was almost halved in the course of one year. In the spring of 1994 the state treasury decided to withdraw deposits from Social Bank (20 percent of the system) which had acted as the government’s main fiscal agent. The withdrawal of resources triggered serious liquidity and solvency problems. The Social Bank quickly became the largest borrower on the interbank market, which, in turn, became Overburdened. The bank was liquidated in May 1995. The bulk of deposits were transferred to the North Estonia Bank while the remainder became an asset recovery agency. Unlike in the earlier episodes, all creditors were fully compensated.</t>
  </si>
  <si>
    <t>The three Nordic countries went through a financial liberalization process that led to a lending boom. However, they also suffered the adverse consequences of higher German interest rates. In the case of Finland, the problems were exacerbated by the collapse of exports to the Soviet Union. The first bank in trouble was Skopbank, which was taken over by the Central Bank in September 1991, although it had been under intense surveillance since 1989. No Banks were closed, but all large banks faced serious solvency problems.</t>
  </si>
  <si>
    <t>During most of the 80's Ghana suffered severe structural imbalances related to the cumulative impact of large budgetary deficits, rapid increase in domestic bank credit, a fixed exchange rate, high inflation, which authorities aimed controlling through price controls. These policies were exacerbated by a deterioration of capital equipment and inadequate prices incentives in agricultural and export sectors. As a result, real output in 1981 was 15 percent lower than its 1974 level. The situation deteriorated further towards the second half of the 1980's due to high fiscal deficits, financed primarily through domestic credit, directed credit policies (since 1981 banks were obliged to lend at least 20% of their portfolio to the agricultural sector), a deterioration in cocoa exports, and a large depreciation of the currenty (a 1173% depreciation took place in 1983). Banks experienced liquidity pressures, but in addition to that, there were defficiencies in banking supervision and regulation. As a result, 7 out of the 11 banks were insolvent and the problems were addressed by capitalization and purchase of NPL's.</t>
  </si>
  <si>
    <t>Despite having stronger macroeconomic fundamentals than Thailand, Indonesia suffered a contagion effect from Thai Bath's devaluation in July-97. At the time the crisis hit, there were defficiencies in banking oversight and regulation, together with significant vulnerabilities of banks to market risk. While the first wave of effects were observed in August-1997, the true meltdown happened in early 1998 following systemicwide bank runs and a free fall of the Rupiah. The government declared a temporary blanquet guarantee and a bank restructuring package that ultimately implied the closure of more than 60 banks and gross outlays of over 50 percent of GDP.</t>
  </si>
  <si>
    <t>The financial liberalization of the late 80's and early 90's led to a rapid acceleration of credit in a vulnerable banking system. The weakness of the financial system became apparent to the general public with the intervention of the Blaise Group in 1994, establishing the Financial Institutions Services Company (FIS) to handle its liquidation. Confronted with a weak banking system but also with a renewed acceleration of inflation rate—at 30 percent at end-1995--and the increased pace of devaluation of the currency, the government tightened monetary policy leading to a sharp increase in real interest rates from negative to positive 30 percent. In October 1995, Century National Bank ran into severe liquidity problems and later insolvency problems were revealed. By mid-1996 Century had accessed overdrafts in an amount of J$4.3 billion (2 percent of GDP). The government intervened the bank in July 1996. Meanwhile, a number of other financial institutions became affected, mainly insurance companies. In total, over 150 institutions were intervened, with the rehabilitation of non-banks costing over 11 percent of GDP.</t>
  </si>
  <si>
    <t>The Japanese macroeconomic environment in the second half of the 1980's was characterized by above-trend economic growth and near-zero inflation. At the same time, during this period, financial liberalization accelerated. These environment contributed to general optimism about the economy and boosted asset prices and fueled rapid credit expansion (in particular consumer and real estate lending). However, banks' lending practices at the time were emphasizing market share and were mostly done on the basis of collateral rather than cash flow, which undermined lending standards as real estate prices climbed. The stock market peaked at the end of 1989 and then collapsed after the summer of 1990. The collapsed was followed by an economic recession and a drastic decline in real estate prices. They in turn caused a rapid deterioration of bank's asset quality and weakened other financial firms as well. The problems were exacerbated by the erosion of bank's capital base caused by the fall in stock prices held in banks' portfolios. Some consequences were felt as early as 1989 when banks begun being downgraded. Then some failures (mostly small institutions such as credit cooperatives) took place in early 1991, and the problem with the housing loan corporations (jusen) in 1995-1996. However, it wasn't until 1997 that the systemic proportions of the problem became evident when high profile financial institutions failed.</t>
  </si>
  <si>
    <t>The devaluation of the Thai baht in July 1997, the subsequent regional contagion, and the crash of the Hong Kong stock market sent shock waves to the Korean financial system. Korea’s exchange rate remained broadly stable through October 1997. However, the high level of short-term debt and the low level of usable international reserves made the economy increasingly vulnerable to shifts in market sentiment. While macroeconomic fundamentals continued to be favorable, the growing awareness of problems in the financial sector and in industrial groups (chaebols) increasingly led to the difficulties for the banks in rolling over their short-term borrowing. The high leverage ratios of the chaebols and their low profitability made them very vulnerable to any shock to their cash flow. The health of the banking system, in turn, was extremely dependent on the viability of the chaebols. Banks were highly exposed to them, both directly through loans and discounts, and indirectly through the guarantee of corporate bonds and commercial paper.</t>
  </si>
  <si>
    <t xml:space="preserve">Until end-1994 problems in the Latvian banking sector were confined to insolvencies of some smaller banks. The growing distress in the Latvian banking system turned into a full-fledged crisis in April 1995, after the failure of some banks to complete audited reports for 1994.  The published audited reports exposed the fragile situation of the banking system, as two-thirds of the audited banks recorded losses in 1994 and lacked an adequate capital base to provide a cushion against these losses. The losses were generally a result of poor lending decisions and disregard for prudential regulations. The major crisis evolved in the first half of 1995 and concerned Banka Baltija, the biggest credit institution of the country at the time. Banka Baltija held over a quarter of all assets and about 30% of all bank deposits in Latvia. The Latvian solution to system risk was based on enhanced regulation and supervision, and increased transparency, with minimum lender of last resort support from the central bank, no deposit insurance and no bail-outs. </t>
  </si>
  <si>
    <t>In April 1994 Lithuania introduced a currency board regime. The litas was pegged to the U.S. dollar at a rate of USD 1 = LTL 4. Inflation subsequently fell from 45% in 1994 (year-end) to about 13% in 1996. Monetary tightening and the fading of speculative sources of earnings contributed to increasingly frequent liquidity problems in the course of 1994 and 1995. Whereas previously mostly smaller credit institutions had been affected, in the summer of 1995 two medium-sized private banks experienced serious liquidity bottlenecks. After receiving some liquidity assistance, one was closed and the other nationalized at end-1995. The deteriorating situation in the Lithuanian banking sector culminated into a crisis following the publication of on-site inspection results, in December 1995, for the largest and third largest private banks, Innovation Bank and Litimpeks Bank, and the subsequent suspension of these banks' operations. Immediately following the closure of the two banks, widespread and steady bank deposit withdrawals took place from the banks that continued to operate and large foreign exchange outflows occurred through the currency board against a background of political uncertainty.</t>
  </si>
  <si>
    <t xml:space="preserve">The persistent pace of credit expansion at an annual rate of nearly 30 percent to the private sector, in particular to the property sector and for the purchase of stocks and shares, exposed the financial system to potential risks from price declines in property and other assets that occurred in 1997. In the wake of market turbulence and contagion effects in the second half of 1997, concerns among market participants about the true condition and resilience of the financial system increasingly became a central issue, highlighted by the known fragilities among finance companies. The authorities responded to market pressures initially through foreign exchange market intervention accompanied by an increase in interest rates, and by subsequently allowing the ringgit to depreciate. There were substantial outflows of capital, through commercial banks and sales of stocks by foreigners. </t>
  </si>
  <si>
    <t>Since the mid-1980's Mexico had carried out an economic adjustment and structural reform process, aimed at achieving sustainable growth. In the early 90's, banks were reprivatized (they were nationalized during the 1982 crisis) as part of the structural reform process. However, by end-1994 a number of vulnerabilities built up and developed into a currency and a banking crisis. Different factors contributed to the crisis: a growing current account deficit, real appreciation of the peso, political developments (Chiapas and assasination of Donato Colosio), the rise of U.S. interest rates. They were aggravated by maturity and currency mismatches in public-debt management and unsound banking practices. A major collapse of the banking system was avoided through a series of policy measures that included a blanquet guarantee, recapitalization of banks, special lines of credit, intervention of 15 banks (1994-2001), and loan restructuring programs.</t>
  </si>
  <si>
    <t>Three banks—Banca de Economii (BEM), Banca Sociala, and Unibank— representing a third of the system were closed in October 2015, after being under special administration of the National Bank of Moldova (NBM) for almost one year. A first stage forensic audit revealed a well-orchestrated fraud by seemingly unrelated shareholders and highlighted the shortcomings in the regulatory and supervisory frameworks. A generalized run on deposits was avoided largely because of a full payout on withdrawn deposits, but there are concerns about the health of some banks.</t>
  </si>
  <si>
    <t xml:space="preserve">The largest bank in Nicaragua, Interbank, was found to have committed fraud and therefore was intervened in August 2000. Following the intervention, full protection for its depositors was announced. However, withdrawals continued until the bank was finally resolved in Oct. 2000 through a P&amp;A. Another institution ran into problems soon after the resolution of Interbank. Runs against other banks occurred in part because the authorities announced limited coverage of its depositors. However, in its resolution a few days later, all depositors were protected. Two institutions more were resolved a few months later. All banks were resolved under P&amp;A's and a blanket guarantee was passed by law after the first two failures. </t>
  </si>
  <si>
    <t>Financial deregulation undertaken during 1984-1987 led to a credit boom (with real rates of credit growth of 20% y-y), accompanied by a boom in both residential and non-residential real estate. In 1985 oil prices fell sharply, turning a 4.8 percent surplus in the current account into a 6.2% deficit in 1986 with ensuing pressures on the exchange rate. The resulting drain in reserves was sterilized via lending to banks, to avoid a sharp increase in interest rates. Meanwhile, rate increases by the Bundesbank following the reunification of Germany, forced Norway to keep interest rates high throughout the economic recession, which started in 1988. At the same time, in 1990, Norway decded to adopt Basel with full implementation expected as of end of 1992. Problems at small banks that began in 1988 were adressed via mergers and assistance from the guarantee fund, funded by banks. However, by 1990 the fund had been depleted and the financial condition at large banks began to deteriorate. The turmoil reached systemic proportions by October 1991, when the second and fourth largest banks had lost a considerable amount of equity.</t>
  </si>
  <si>
    <t>During most of the 80’s the Paraguayan economy was characterized by financial controls and unstable macroeconomic environment. The change in political regime in 1989 brought about financial liberalization: elimination of interest rate controls, authorization of foreign currency loans by local banks for export and import-related activities, gradual reduction of reserve requiremetns, etc. These measures led to rapid growth of the financial system in terms of the number of institutions and their size. During the early nineties, the macroeconomic outlook of the country improved. However, the banking system remained undercapitalized and non-performing loans rose sharply, coupled together with insider lending practices. The weaknesses in the financial system were in part caused by the slow progress on banking supervision and enforcement of regulation during the liberalization process. Already in 1989, an assessment by the superintendency revealed that about one third of the banking system was insolvent. The crisis began in May 1995 when the third and fourth largest banks could not meet clearing obligations and were intervened. The first line of response was liquidity support. However, as the crisis unfolded, an important amount of unrecorded deposits were discovered. A blanket guarantee covering intervened banks was announced, but pressures remained because at first, the guarantee covered only legitimate deposits, although later, all deposits were protected. Through a series of interventions, closures and substantial liquidity support, the distress period lasted until 1999. In the end, between 1995-1999, 15 out of the 19 locally-owned banks were either closed or absorbed by stronger institutions. By 1999 banks were predominantly foreign owned.</t>
  </si>
  <si>
    <t xml:space="preserve">By mid-1997 the peso had appreciated by over 25 percent in real effective terms since 1993 and the external current account deficit had widened to over 5 percent of GNP. Large external borrowing in 1996, especially by banks, had raised foreign currency debt exposures, including on short-term debt which, at around $10 billion, was about equal the level of usable gross official reserves. Private sector credit had expanded very rapidly during 1995-96 including a significant rise in credit to real estate and consumption. From early 1997, economic conditions deteriolated as the regional downturn interacted with the country’s own vulnerabilities. A decline in capital inflows and a slowdown in manufacturing output combined with sharp falls in the stock market and mounting pressures on the peso. The authorities initially responded by tightening monetary policy and by intervention to maintain the de facto peg of the peso. When this stance became unsustainable in the aftermath of the float of the Thai baht, the peso was floated on July 11, accompanied by a strengthening of fiscal, monetary, and structural policies including regulation and supervision of the banking sector. The overall effects were mild compared to those experienced by its neighbors. Only a handful of institutions was closed and one large bank ran into trouble (PNB-partially state-owned) but was later privatized in 2000. No public funds were used in the restructuring, except for liquidity support. </t>
  </si>
  <si>
    <t>Initially, from mid-1997 to April 1998, the Central Bank of Russia (CBR) was relatively successful in defending the fixed exchange rate policy through a significant tightening of credit. However, the situation became increasingly untenable when significant political turmoil in Russia-starting with the President’s dismissal of the government of Prime Minister Chernomyrdin and prolonged by a stalemate over the formation of a new cabinet-cast increasing doubt on the political resolve to come to grips with Russia’s fiscal problems. From mid-July, when the Duma refused to pass key fiscal measures, the situation deteriorated rapidly, leading to a unilateral restructuring of ruble-denominated treasury bills and bonds on August 17, 1998. The ruble was allowed to float three days later despite previous announcements that it wouldn't be devalued. A large devaluation in real effective terms (over 300% in nominal terms), loss of access to international capital markets, and massive losses to the banking system ensued. However, well before the crisis, there was widespread recognition that the banking system had a series of weaknesses. In particular, bank reporting and bank supervision were weak, there was an excessive exposure to foreign exchange rate risk, connected lending, and poor management. Two key measures implemented were a 90-day moratorium on foreign liabilities of banks and the transfer of a large fraction of deposits from insolvent banks to Sberbank. Most of the crisis was handled through assistance from the Central Bank.</t>
  </si>
  <si>
    <t>Economic performance at the end of the 80’s was marred by low economic growth, rising inflation, and a weakening balance of payments. Underlying this deterioration was a large overall government deficit attributable to the worsening security conditions and to revenue shortfalls and expenditure overruns, especially on wages and salaries. The larger deficit resulted in heavy recourse to domestic bank borrowing (5 percent of GDP), a 33 percent rise in reserve money, and an accelerating loss of reserves toward the end of the year as confidence waned. As financial imbalances persisted into 1989 the Government made continued heavy recourse to bank credit, particularly from the Central Bank, and the demand effect was accentuated by substantial bank financing of the public enterprises. These events raised a number of vulnerabilities and inefficiencies at two large state banks (2/3 of industry’s assets) Bank of Ceylon and the People's Bank. The government decided to recapitalized them in 1993 to solve their solvency problem due to high nonperforming assets.</t>
  </si>
  <si>
    <t>As in the case of Finland and Norway, the pre-crisis period was characterized by rapid lending expansion following financial liberalization. As the other countries, Sweden was affected by the adverse consequences of higher German interest rates. The first bank in trouble was Forsta sparbanken (the country's largest savings bank) in the fall of 1991. Later in 1991, Nordbanken got in problems (3rd largest), 71% state-owned. The problems spread to other institutions until it reached systemic proportions in the fall of 1992, when a blanket guarantee was announced.</t>
  </si>
  <si>
    <t xml:space="preserve">Under the framework of a pegged exchange rate regime, Thailand had enjoyed a decade of robust growth performance, but by late 1996 pressures on the baht emerged. Pressure increased through the first half of 1997 amidst an unsustainable current account deficit, a significant appreciation of the real effective exchange rate, rising short-term foreign debt, a deteriorating fiscal balance, and increasingly visible financial sector weaknesses, including large exposure to the real estate sector, exchange rate risk and liquidity risk. Finance companies had disproportionately the largest exposure to the property sector and were the first institutions affected by the economic downturn. Following mounting exchange rate pressures and ineffective interventions to alleviate these pressures, the baht was floated on July 2, 1997. In light of weak supportive policies, the baht depreciated by 20 percent against the U.S. dollar in July.  </t>
  </si>
  <si>
    <t xml:space="preserve">Turkey had accumulated important macroeconomic imbalances throughout the 90's, inflation had been hovering around 80%, high fiscal deficits and public debt, high current account deficit, and weak financial system. Banks had a high exposure to the government through large holdings of public securities, sizeable maturities and exchange rate risk missmatches, making them highly vulnerable to market risk. In Nov 2000, one large bank cut its credit lines to a few smaller banks, who in turn reacted by liquidating public securities in the market. A sharp drop in price of such securities caused panic among foreign investors triggering a reversal in capital flows and a sharp increases in interest rates and declines in the value of the currency. </t>
  </si>
  <si>
    <t>Vulnerabilities in Ukrainian banks had their roots in the transition process, with bad loans inherited from old state banks, extended during the Central Planning system. Directed credit to state-owned companies, with no repayment capacity, and the government not honoring existing debt caused banks severe solvency problems, which were magnified by unsound lending practices. Public confidence on the banking system deteriorated with the crisis in Russia.  Interest rates in the interbank money market increased sharply, the value of securities fell on the secondary market, liquidity became scarce, and depositors started to withdraw money from their accounts.</t>
  </si>
  <si>
    <t>Deposits were highly dollarized and an important fraction was of non-residents (deposits/GDP was 75% as of 2001). The introduction of capital controls and deposit freezes in Argentina in Dec. 2001 triggered liquidity problems at the two largest private banks Banco Galicia Uruguay (BGU) and Banco Comercial (BC) (with combined assets of 20 percent of the total) as a result of their high level of exposure to Argentina (owned by Argentinean financial groups). In January 2002 alone, BGU lost 15% of deposits (its business model consisted in taking deposits from argenteneans and lending to them as well). BGU was intervened in February and later suspended. Similarly, BC had large holdings of Argentine government debt as well as extensive lending to the Argentina conglomerate Grupo Banco General de Negocios, of which BC was a member. Its problems were exacerbated by fraudulent activities. A second wave of deposit withdrawals ensued in April 2002, following Uruguay’s downgrade from investment grade status. By May, the runs expanded to the public banks, (Republica and Hipotecario) accounting for 40 percent of the system’s assets, which were at a weak condition, with NPL's of 39% as of 2001, compared to 5.6% at private banks. By July, NIR had dropped in 80% and deposits in 38% vis-a-vis Dec. 2001.</t>
  </si>
  <si>
    <t>During the 80's the Venezuelan economy was characterized by poor economic performance, with real gdp growh averaging 1% during 1980-88, only  a fourth of the speed of growth during the previous decade. Starting in 1989, the economy entered a new phase with a major program of macroeconomic adjustment and reform. However, the reforms did not progress as quickly as expected and the government resorted heavily to keeping the exchange rate stable to alleviate inflationary pressures. 2 coup attempts in 1991 triggered substantial pressures on the exchange rate market, leading to high interest rates and important NIR declines. As a result, the currency depreciated sharply towards the end of 1992. A weak oil market, a persistently laxed fiscal policy, high interest rates, and increased political tensions exacerbated problems while asset quality at banks deteriorated sharply. The trigger of the crisis was the closure of Banco Latino (2nd largest in terms of deposits), in mid-January 1994. In total, 19 banks (55% of system's deposits) were either nationalized or closed.</t>
  </si>
  <si>
    <t>Signs of stress in the banking sector were growing since 1996. Overdue loans had officially risen to 15 percent of total credit (5 percent of GDP), and would have been higher using internationally-accepted standards. Two of the four large state-owned banks suffered corruption scandals. A number of the small joint-stock banks, which made up about 20 percent of the banking system, had difficulty servicing letters of credit.</t>
  </si>
  <si>
    <t>Institutions</t>
  </si>
  <si>
    <t>Deposit insurance(Y/N)</t>
  </si>
  <si>
    <t>Y</t>
  </si>
  <si>
    <t>N</t>
  </si>
  <si>
    <t>Year of creation</t>
  </si>
  <si>
    <t xml:space="preserve">Coverage at start of crisis </t>
  </si>
  <si>
    <t>In local currency</t>
  </si>
  <si>
    <t>Full</t>
  </si>
  <si>
    <t>Unlimited</t>
  </si>
  <si>
    <t>In percent of GDP per capita</t>
  </si>
  <si>
    <t>Containment phase</t>
  </si>
  <si>
    <t>Deposit freeze and bank holiday</t>
  </si>
  <si>
    <t>Deposit freeze (Y/N)</t>
  </si>
  <si>
    <t xml:space="preserve">Introduction </t>
  </si>
  <si>
    <t>Duration (in months)</t>
  </si>
  <si>
    <t>Partially in place</t>
  </si>
  <si>
    <t>Coverage of deposit freeze: time deposits only ? (Y/N)</t>
  </si>
  <si>
    <t>Controls on bank transfers from Greek banks to foreign banks, and limits on cash withdrawals (only €60 per day permitted). In September 2015, a few modifications were introduced: i) account holders could withdraw cash in just one transaction per week, so long as it complied with limits; ii)  up to 10% could be withdrawn from funds deposited in Greece from abroad. People with foreign credit cards such as tourists could withdraw through ATMs higher amounts of cash. Other changes allowed time deposits to be terminated prematurely to cover real estate purchases and living expenses up to €1800 per month. Furthermore, resident Greeks making payments or remittances to foreign banks in which they had accounts in their name had the €1800 limit removed and businesses making payments abroad could send up to €5000 per day per client without seeking special permission. Controls were further relaxed in 2016-2018, but restrictions remained still in place in early 2018.</t>
  </si>
  <si>
    <t>Limits to Withdrawals of FX deposits to UAH15k per day. June/2014, limits to UAH deposit withdrawals to UAH150k per day. Limits to withdrawals of UAH deposits relaxed to 300k per day in July 2015, to 500k per day in March 2016, and removed in September 2016. On FX deposits, relaxed to UAH20k per day in September 2015, to 50k per day in March 2016, to 200k in December 2016, and removed in August 2017. But some FX restrictions in payments abroad remain up to end-2017.</t>
  </si>
  <si>
    <t>Bank holiday (Y/N)</t>
  </si>
  <si>
    <t>Duration  (in days)</t>
  </si>
  <si>
    <t>Significant Bank Liabilities Guarantees</t>
  </si>
  <si>
    <t>Date of introduction</t>
  </si>
  <si>
    <t>Already in place</t>
  </si>
  <si>
    <t>Date of removal</t>
  </si>
  <si>
    <t>Duration  (in months)</t>
  </si>
  <si>
    <t>Coverage of guarantee</t>
  </si>
  <si>
    <t>Unlimited coverage to depositors, bank and non-bank bonds.</t>
  </si>
  <si>
    <t xml:space="preserve">Deposit-like insurance instruments. Interbank loans and short-term debt. Specific guarantees for Dexia. </t>
  </si>
  <si>
    <t>Depositors, except shareholders up to CZK4m (at the 18 banks under restructuring) and CZK0 1m everywhere else</t>
  </si>
  <si>
    <t xml:space="preserve">Deposits and unsecured claims of PCA banks. </t>
  </si>
  <si>
    <t>All creditors except for subordinated debt and related parties</t>
  </si>
  <si>
    <t>All creditors except for shareholders</t>
  </si>
  <si>
    <t xml:space="preserve">Unlimited coverage of household deposits. </t>
  </si>
  <si>
    <t xml:space="preserve">Unlimited protection to depositors of small banks. </t>
  </si>
  <si>
    <t xml:space="preserve">Unlimited coverage to domestic deposits. </t>
  </si>
  <si>
    <t>All deposits and other credits of all domestic banks (excluding shareholders’ capital, subordinated debt, and related-parties deposits).</t>
  </si>
  <si>
    <t xml:space="preserve">Unlimited coverage to most liabilities of 10 banks. </t>
  </si>
  <si>
    <t xml:space="preserve">State guarantee for new bank liabilities. </t>
  </si>
  <si>
    <t>Depositors’ funds in licensed deposit-taking institutions, pension funds managed by authorized institutions, and policy-holders funds in insurance companies</t>
  </si>
  <si>
    <t>All deposits, including interbank deposits</t>
  </si>
  <si>
    <t>All liabilities (excluding shareholders’ capital and subordinated debt) of banks, securities companies, insurance companies, merchant banks, mutual savings and finance companies, and credit unions. Overseas branches were also included.</t>
  </si>
  <si>
    <t>Guarantees on Parex syndicated loans</t>
  </si>
  <si>
    <t>Guarantees on Dexia's debt</t>
  </si>
  <si>
    <t>Deposits only of commercial banks, finance companies and merchant banks, including overseas branches of domestic banking institutions.</t>
  </si>
  <si>
    <t>All bank liabilities, including inter-bank deposits but excluding subordinated debt</t>
  </si>
  <si>
    <t xml:space="preserve">Unlimited coverage to all deposits. </t>
  </si>
  <si>
    <t xml:space="preserve">Interbank loans of solvent banks. </t>
  </si>
  <si>
    <t>All deposit liabilities except for related parties.</t>
  </si>
  <si>
    <t xml:space="preserve">Guarantees on all interbank transactions, foreign credit lines and pension deposits. </t>
  </si>
  <si>
    <t>The announcement was that the government will back all deposits, but no explicit breakdown was given.</t>
  </si>
  <si>
    <t xml:space="preserve">Debt issued by credit institutions. </t>
  </si>
  <si>
    <t xml:space="preserve">Interbank lending for qualifying banks. </t>
  </si>
  <si>
    <t xml:space="preserve">Unlimited protection for all deposits by individuals and small entreprises until end-2010, and capped at €100,000 thereafter </t>
  </si>
  <si>
    <t>All liabilities, except for shareholders</t>
  </si>
  <si>
    <t>Medium-term debt of banks and mortgage insitutions</t>
  </si>
  <si>
    <t>Deposits, contingent and foreign liabilities (excluding shareholders’ capital and subordinated debt) of banks and finance companies. Directors’ and related persons’ deposits and/or claims were not covered unless it could be proven that the transactions were at arms’ length.</t>
  </si>
  <si>
    <t xml:space="preserve">All liabilities (including contingent) of domestically incorporated banks except for owners' deposits, deposits linked to criminal activities, subordinated debt, and equity </t>
  </si>
  <si>
    <t xml:space="preserve">Guarantee on short-to-medium term debt; blanket guarantee on Northern Rock and Bradford &amp; Bingley wholesale deposits. </t>
  </si>
  <si>
    <t xml:space="preserve">Money market funds (capped at 50 bio); full guarantee on transaction deposits; newly issued senior unsecured debt. </t>
  </si>
  <si>
    <t>Liquidity support</t>
  </si>
  <si>
    <t xml:space="preserve">          Date when it became extensive</t>
  </si>
  <si>
    <t>Peak support (in % of deposits)</t>
  </si>
  <si>
    <t>Resolution phase</t>
  </si>
  <si>
    <t>Bank restructuring (Y/N)</t>
  </si>
  <si>
    <t>Nationalizations (Y/N)</t>
  </si>
  <si>
    <t>Asset Purchases and Transfers (Y/N)</t>
  </si>
  <si>
    <t>Asset management company</t>
  </si>
  <si>
    <t>Recapitalization (Y/N)</t>
  </si>
  <si>
    <t>Recap costs (in percent of GDP)</t>
  </si>
  <si>
    <t>small</t>
  </si>
  <si>
    <t>Recovery (Y/N)</t>
  </si>
  <si>
    <t xml:space="preserve">N </t>
  </si>
  <si>
    <t xml:space="preserve">     Recovery proceeds (% of GDP)</t>
  </si>
  <si>
    <t>Recap cost to government (net) (as % of GDP)</t>
  </si>
  <si>
    <t>Losses imposed on depositors (Y/N)</t>
  </si>
  <si>
    <t>IMF program</t>
  </si>
  <si>
    <t>IMF program put in place (Y/N)</t>
  </si>
  <si>
    <t>IMF program put in place (year)</t>
  </si>
  <si>
    <t>2010, 2012</t>
  </si>
  <si>
    <t>2009, 2010</t>
  </si>
  <si>
    <t>Outcome variables</t>
  </si>
  <si>
    <t>Nonperforming loans</t>
  </si>
  <si>
    <t>Peak NPLs (as % of total loans; unofficial estimate)</t>
  </si>
  <si>
    <t>Fiscal cost net (%GDP)</t>
  </si>
  <si>
    <t>Gross</t>
  </si>
  <si>
    <t>Recoveries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</si>
</sst>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409]mmm\-yy"/>
    <numFmt numFmtId="166" formatCode="_(* #,##0_);_(* \(#,##0\);_(* &quot;-&quot;??_);_(@_)"/>
    <numFmt numFmtId="167" formatCode="D/M/YYYY"/>
    <numFmt numFmtId="168" formatCode="m/d/yy"/>
  </numFmts>
  <fonts count="14">
    <font>
      <sz val="11.0"/>
      <color theme="1"/>
      <name val="Calibri"/>
      <scheme val="minor"/>
    </font>
    <font>
      <sz val="18.0"/>
      <color theme="1"/>
      <name val="Times New Roman"/>
    </font>
    <font>
      <sz val="24.0"/>
      <color theme="1"/>
      <name val="Calibri"/>
    </font>
    <font>
      <sz val="24.0"/>
      <color theme="1"/>
      <name val="Times New Roman"/>
    </font>
    <font>
      <sz val="12.0"/>
      <color theme="1"/>
      <name val="Times New Roman"/>
    </font>
    <font>
      <i/>
      <sz val="18.0"/>
      <color theme="1"/>
      <name val="Times New Roman"/>
    </font>
    <font>
      <b/>
      <sz val="9.0"/>
      <color theme="1"/>
      <name val="Times New Roman"/>
    </font>
    <font>
      <sz val="9.0"/>
      <color theme="1"/>
      <name val="Times New Roman"/>
    </font>
    <font/>
    <font>
      <sz val="11.0"/>
      <color theme="1"/>
      <name val="Calibri"/>
    </font>
    <font>
      <sz val="10.0"/>
      <color theme="1"/>
      <name val="Times New Roman"/>
    </font>
    <font>
      <b/>
      <sz val="9.0"/>
      <color theme="1"/>
      <name val="Arial"/>
    </font>
    <font>
      <sz val="9.0"/>
      <color theme="1"/>
      <name val="Arial"/>
    </font>
    <font>
      <sz val="9.0"/>
      <color theme="1"/>
      <name val="Calibri"/>
    </font>
  </fonts>
  <fills count="4">
    <fill>
      <patternFill patternType="none"/>
    </fill>
    <fill>
      <patternFill patternType="lightGray"/>
    </fill>
    <fill>
      <patternFill patternType="solid">
        <fgColor rgb="FFFBD4B4"/>
        <bgColor rgb="FFFBD4B4"/>
      </patternFill>
    </fill>
    <fill>
      <patternFill patternType="solid">
        <fgColor theme="0"/>
        <bgColor theme="0"/>
      </patternFill>
    </fill>
  </fills>
  <borders count="15">
    <border/>
    <border>
      <left/>
      <right/>
      <top/>
      <bottom/>
    </border>
    <border>
      <top style="medium">
        <color rgb="FF000000"/>
      </top>
    </border>
    <border>
      <bottom style="medium">
        <color rgb="FF000000"/>
      </bottom>
    </border>
    <border>
      <top style="medium">
        <color rgb="FF000000"/>
      </top>
      <bottom style="medium">
        <color rgb="FF000000"/>
      </bottom>
    </border>
    <border>
      <bottom style="thin">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thin">
        <color rgb="FF000000"/>
      </left>
      <right style="thin">
        <color rgb="FF000000"/>
      </right>
    </border>
    <border>
      <top style="double">
        <color rgb="FF000000"/>
      </top>
    </border>
    <border>
      <right style="thin">
        <color rgb="FF000000"/>
      </right>
    </border>
    <border>
      <left style="thin">
        <color rgb="FF000000"/>
      </left>
      <right style="thin">
        <color rgb="FF000000"/>
      </right>
      <bottom style="double">
        <color rgb="FF000000"/>
      </bottom>
    </border>
    <border>
      <bottom style="double">
        <color rgb="FF000000"/>
      </bottom>
    </border>
    <border>
      <left style="thin">
        <color rgb="FF000000"/>
      </left>
      <top style="double">
        <color rgb="FF000000"/>
      </top>
    </border>
    <border>
      <left style="thin">
        <color rgb="FF000000"/>
      </lef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0" fillId="0" fontId="2" numFmtId="0" xfId="0" applyAlignment="1" applyFont="1">
      <alignment horizontal="center" vertical="top"/>
    </xf>
    <xf borderId="0" fillId="0" fontId="3" numFmtId="0" xfId="0" applyAlignment="1" applyFont="1">
      <alignment horizontal="center" vertical="top"/>
    </xf>
    <xf borderId="0" fillId="0" fontId="4" numFmtId="0" xfId="0" applyFont="1"/>
    <xf borderId="0" fillId="0" fontId="5" numFmtId="0" xfId="0" applyAlignment="1" applyFont="1">
      <alignment horizontal="center" vertical="top"/>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0" fillId="0" fontId="7" numFmtId="0" xfId="0" applyFont="1"/>
    <xf borderId="3" fillId="0" fontId="8" numFmtId="0" xfId="0" applyBorder="1" applyFont="1"/>
    <xf borderId="3" fillId="0" fontId="6" numFmtId="0" xfId="0" applyAlignment="1" applyBorder="1" applyFont="1">
      <alignment horizontal="center" shrinkToFit="0" vertical="center" wrapText="1"/>
    </xf>
    <xf borderId="0" fillId="0" fontId="7" numFmtId="0" xfId="0" applyAlignment="1" applyFont="1">
      <alignment shrinkToFit="0" wrapText="1"/>
    </xf>
    <xf borderId="0" fillId="0" fontId="7" numFmtId="0" xfId="0" applyAlignment="1" applyFont="1">
      <alignment horizontal="right" shrinkToFit="0" wrapText="1"/>
    </xf>
    <xf borderId="0" fillId="0" fontId="7" numFmtId="0" xfId="0" applyAlignment="1" applyFont="1">
      <alignment horizontal="right"/>
    </xf>
    <xf borderId="0" fillId="0" fontId="7" numFmtId="3" xfId="0" applyAlignment="1" applyFont="1" applyNumberFormat="1">
      <alignment horizontal="right" shrinkToFit="0" wrapText="1"/>
    </xf>
    <xf borderId="3" fillId="0" fontId="7" numFmtId="0" xfId="0" applyAlignment="1" applyBorder="1" applyFont="1">
      <alignment shrinkToFit="0" wrapText="1"/>
    </xf>
    <xf borderId="3" fillId="0" fontId="7" numFmtId="0" xfId="0" applyAlignment="1" applyBorder="1" applyFont="1">
      <alignment horizontal="right" shrinkToFit="0" wrapText="1"/>
    </xf>
    <xf borderId="3" fillId="0" fontId="7" numFmtId="0" xfId="0" applyAlignment="1" applyBorder="1" applyFont="1">
      <alignment horizontal="right"/>
    </xf>
    <xf borderId="4" fillId="0" fontId="6" numFmtId="0" xfId="0" applyAlignment="1" applyBorder="1" applyFont="1">
      <alignment horizontal="center" vertical="center"/>
    </xf>
    <xf borderId="4" fillId="0" fontId="6" numFmtId="0" xfId="0" applyAlignment="1" applyBorder="1" applyFont="1">
      <alignment horizontal="center" shrinkToFit="0" vertical="center" wrapText="1"/>
    </xf>
    <xf borderId="0" fillId="0" fontId="9" numFmtId="0" xfId="0" applyAlignment="1" applyFont="1">
      <alignment vertical="center"/>
    </xf>
    <xf borderId="0" fillId="0" fontId="9" numFmtId="0" xfId="0" applyFont="1"/>
    <xf borderId="5" fillId="0" fontId="7" numFmtId="0" xfId="0" applyAlignment="1" applyBorder="1" applyFont="1">
      <alignment horizontal="right"/>
    </xf>
    <xf borderId="5" fillId="0" fontId="7" numFmtId="0" xfId="0" applyAlignment="1" applyBorder="1" applyFont="1">
      <alignment shrinkToFit="0" wrapText="1"/>
    </xf>
    <xf borderId="2" fillId="0" fontId="10" numFmtId="0" xfId="0" applyAlignment="1" applyBorder="1" applyFont="1">
      <alignment horizontal="left" shrinkToFit="0" vertical="top" wrapText="1"/>
    </xf>
    <xf borderId="2" fillId="0" fontId="8" numFmtId="0" xfId="0" applyBorder="1" applyFont="1"/>
    <xf borderId="6" fillId="0" fontId="6" numFmtId="0" xfId="0" applyAlignment="1" applyBorder="1" applyFont="1">
      <alignment horizontal="left" shrinkToFit="0" vertical="center" wrapText="1"/>
    </xf>
    <xf borderId="7" fillId="0" fontId="6" numFmtId="0" xfId="0" applyAlignment="1" applyBorder="1" applyFont="1">
      <alignment horizontal="left" shrinkToFit="0" vertical="center" wrapText="1"/>
    </xf>
    <xf borderId="7" fillId="0" fontId="6" numFmtId="0" xfId="0" applyAlignment="1" applyBorder="1" applyFont="1">
      <alignment horizontal="center" readingOrder="0" shrinkToFit="0" vertical="center" wrapText="1"/>
    </xf>
    <xf borderId="7" fillId="0" fontId="6" numFmtId="164" xfId="0" applyAlignment="1" applyBorder="1" applyFont="1" applyNumberFormat="1">
      <alignment horizontal="center" shrinkToFit="0" vertical="center" wrapText="1"/>
    </xf>
    <xf borderId="8" fillId="0" fontId="7" numFmtId="0" xfId="0" applyAlignment="1" applyBorder="1" applyFont="1">
      <alignment horizontal="left"/>
    </xf>
    <xf borderId="0" fillId="0" fontId="7" numFmtId="0" xfId="0" applyAlignment="1" applyFont="1">
      <alignment horizontal="left"/>
    </xf>
    <xf borderId="9" fillId="0" fontId="7" numFmtId="164" xfId="0" applyAlignment="1" applyBorder="1" applyFont="1" applyNumberFormat="1">
      <alignment horizontal="center"/>
    </xf>
    <xf borderId="0" fillId="0" fontId="7" numFmtId="164" xfId="0" applyAlignment="1" applyFont="1" applyNumberFormat="1">
      <alignment horizontal="center"/>
    </xf>
    <xf borderId="0" fillId="0" fontId="7" numFmtId="0" xfId="0" applyAlignment="1" applyFont="1">
      <alignment horizontal="left" readingOrder="0"/>
    </xf>
    <xf borderId="1" fillId="3" fontId="7" numFmtId="164" xfId="0" applyAlignment="1" applyBorder="1" applyFill="1" applyFont="1" applyNumberFormat="1">
      <alignment horizontal="center"/>
    </xf>
    <xf borderId="8" fillId="0" fontId="7" numFmtId="0" xfId="0" applyAlignment="1" applyBorder="1" applyFont="1">
      <alignment horizontal="left" readingOrder="0"/>
    </xf>
    <xf quotePrefix="1" borderId="0" fillId="0" fontId="7" numFmtId="0" xfId="0" applyAlignment="1" applyFont="1">
      <alignment horizontal="left" readingOrder="0"/>
    </xf>
    <xf borderId="0" fillId="0" fontId="7" numFmtId="2" xfId="0" applyAlignment="1" applyFont="1" applyNumberFormat="1">
      <alignment horizontal="center"/>
    </xf>
    <xf borderId="10" fillId="0" fontId="7" numFmtId="0" xfId="0" applyAlignment="1" applyBorder="1" applyFont="1">
      <alignment horizontal="left" readingOrder="0"/>
    </xf>
    <xf borderId="10" fillId="0" fontId="7" numFmtId="0" xfId="0" applyAlignment="1" applyBorder="1" applyFont="1">
      <alignment horizontal="left"/>
    </xf>
    <xf borderId="11" fillId="0" fontId="7" numFmtId="0" xfId="0" applyAlignment="1" applyBorder="1" applyFont="1">
      <alignment horizontal="left"/>
    </xf>
    <xf borderId="12" fillId="0" fontId="7" numFmtId="0" xfId="0" applyAlignment="1" applyBorder="1" applyFont="1">
      <alignment horizontal="left"/>
    </xf>
    <xf borderId="12" fillId="0" fontId="7" numFmtId="0" xfId="0" applyAlignment="1" applyBorder="1" applyFont="1">
      <alignment horizontal="left" readingOrder="0"/>
    </xf>
    <xf borderId="12" fillId="0" fontId="7" numFmtId="164" xfId="0" applyAlignment="1" applyBorder="1" applyFont="1" applyNumberFormat="1">
      <alignment horizontal="center"/>
    </xf>
    <xf borderId="13" fillId="0" fontId="7" numFmtId="0" xfId="0" applyAlignment="1" applyBorder="1" applyFont="1">
      <alignment horizontal="left" readingOrder="0" shrinkToFit="0" vertical="top" wrapText="1"/>
    </xf>
    <xf borderId="9" fillId="0" fontId="8" numFmtId="0" xfId="0" applyBorder="1" applyFont="1"/>
    <xf borderId="14" fillId="0" fontId="8" numFmtId="0" xfId="0" applyBorder="1" applyFont="1"/>
    <xf borderId="14" fillId="0" fontId="7" numFmtId="0" xfId="0" applyAlignment="1" applyBorder="1" applyFont="1">
      <alignment horizontal="left" shrinkToFit="0" vertical="top" wrapText="1"/>
    </xf>
    <xf borderId="0" fillId="0" fontId="7" numFmtId="0" xfId="0" applyAlignment="1" applyFont="1">
      <alignment horizontal="left" shrinkToFit="0" vertical="top" wrapText="1"/>
    </xf>
    <xf borderId="0" fillId="0" fontId="7" numFmtId="164" xfId="0" applyAlignment="1" applyFont="1" applyNumberFormat="1">
      <alignment horizontal="left" shrinkToFit="0" vertical="top" wrapText="1"/>
    </xf>
    <xf borderId="14" fillId="0" fontId="7" numFmtId="0" xfId="0" applyAlignment="1" applyBorder="1" applyFont="1">
      <alignment shrinkToFit="0" vertical="top" wrapText="1"/>
    </xf>
    <xf borderId="0" fillId="0" fontId="7" numFmtId="0" xfId="0" applyAlignment="1" applyFont="1">
      <alignment shrinkToFit="0" vertical="top" wrapText="1"/>
    </xf>
    <xf borderId="0" fillId="0" fontId="7" numFmtId="2" xfId="0" applyFont="1" applyNumberFormat="1"/>
    <xf borderId="0" fillId="0" fontId="7" numFmtId="164" xfId="0" applyAlignment="1" applyFont="1" applyNumberFormat="1">
      <alignment horizontal="center" shrinkToFit="0" vertical="top" wrapText="1"/>
    </xf>
    <xf borderId="0" fillId="0" fontId="7" numFmtId="164" xfId="0" applyAlignment="1" applyFont="1" applyNumberFormat="1">
      <alignment shrinkToFit="0" vertical="top" wrapText="1"/>
    </xf>
    <xf borderId="0" fillId="0" fontId="9" numFmtId="164" xfId="0" applyAlignment="1" applyFont="1" applyNumberFormat="1">
      <alignment horizontal="center"/>
    </xf>
    <xf borderId="7" fillId="0" fontId="11" numFmtId="0" xfId="0" applyBorder="1" applyFont="1"/>
    <xf borderId="7" fillId="0" fontId="12" numFmtId="0" xfId="0" applyAlignment="1" applyBorder="1" applyFont="1">
      <alignment horizontal="center"/>
    </xf>
    <xf borderId="7" fillId="0" fontId="7" numFmtId="0" xfId="0" applyBorder="1" applyFont="1"/>
    <xf borderId="0" fillId="0" fontId="11" numFmtId="0" xfId="0" applyAlignment="1" applyFont="1">
      <alignment vertical="top"/>
    </xf>
    <xf borderId="0" fillId="0" fontId="12" numFmtId="165" xfId="0" applyAlignment="1" applyFont="1" applyNumberFormat="1">
      <alignment horizontal="center" vertical="center"/>
    </xf>
    <xf borderId="0" fillId="0" fontId="12" numFmtId="17" xfId="0" applyAlignment="1" applyFont="1" applyNumberFormat="1">
      <alignment horizontal="center" vertical="center"/>
    </xf>
    <xf borderId="0" fillId="0" fontId="12" numFmtId="0" xfId="0" applyAlignment="1" applyFont="1">
      <alignment horizontal="center" vertical="center"/>
    </xf>
    <xf borderId="1" fillId="3" fontId="12" numFmtId="17" xfId="0" applyAlignment="1" applyBorder="1" applyFont="1" applyNumberFormat="1">
      <alignment horizontal="center" vertical="center"/>
    </xf>
    <xf borderId="1" fillId="3" fontId="12" numFmtId="165" xfId="0" applyAlignment="1" applyBorder="1" applyFont="1" applyNumberFormat="1">
      <alignment horizontal="center" vertical="center"/>
    </xf>
    <xf borderId="0" fillId="0" fontId="11" numFmtId="0" xfId="0" applyFont="1"/>
    <xf borderId="0" fillId="0" fontId="12" numFmtId="0" xfId="0" applyAlignment="1" applyFont="1">
      <alignment horizontal="left"/>
    </xf>
    <xf borderId="0" fillId="0" fontId="12" numFmtId="0" xfId="0" applyAlignment="1" applyFont="1">
      <alignment horizontal="left" shrinkToFit="0" wrapText="1"/>
    </xf>
    <xf borderId="0" fillId="0" fontId="12" numFmtId="0" xfId="0" applyFont="1"/>
    <xf borderId="0" fillId="0" fontId="12" numFmtId="166" xfId="0" applyAlignment="1" applyFont="1" applyNumberFormat="1">
      <alignment horizontal="center" vertical="center"/>
    </xf>
    <xf borderId="0" fillId="0" fontId="12" numFmtId="9" xfId="0" applyAlignment="1" applyFont="1" applyNumberFormat="1">
      <alignment horizontal="center" vertical="center"/>
    </xf>
    <xf borderId="0" fillId="0" fontId="11" numFmtId="0" xfId="0" applyAlignment="1" applyFont="1">
      <alignment horizontal="left"/>
    </xf>
    <xf borderId="0" fillId="0" fontId="12" numFmtId="167" xfId="0" applyAlignment="1" applyFont="1" applyNumberFormat="1">
      <alignment horizontal="center" vertical="center"/>
    </xf>
    <xf borderId="0" fillId="0" fontId="12" numFmtId="168" xfId="0" applyAlignment="1" applyFont="1" applyNumberFormat="1">
      <alignment horizontal="center" vertical="center"/>
    </xf>
    <xf borderId="0" fillId="0" fontId="11" numFmtId="0" xfId="0" applyAlignment="1" applyFont="1">
      <alignment horizontal="left" vertical="top"/>
    </xf>
    <xf borderId="0" fillId="0" fontId="12" numFmtId="0" xfId="0" applyAlignment="1" applyFont="1">
      <alignment horizontal="left" vertical="top"/>
    </xf>
    <xf borderId="0" fillId="0" fontId="12" numFmtId="0" xfId="0" applyAlignment="1" applyFont="1">
      <alignment horizontal="left" vertical="center"/>
    </xf>
    <xf borderId="0" fillId="0" fontId="12" numFmtId="0" xfId="0" applyAlignment="1" applyFont="1">
      <alignment horizontal="center"/>
    </xf>
    <xf borderId="0" fillId="0" fontId="12" numFmtId="0" xfId="0" applyAlignment="1" applyFont="1">
      <alignment vertical="top"/>
    </xf>
    <xf borderId="0" fillId="0" fontId="12" numFmtId="10" xfId="0" applyAlignment="1" applyFont="1" applyNumberFormat="1">
      <alignment horizontal="center" vertical="center"/>
    </xf>
    <xf borderId="0" fillId="0" fontId="9" numFmtId="0" xfId="0" applyAlignment="1" applyFont="1">
      <alignment horizontal="center"/>
    </xf>
    <xf borderId="0" fillId="0" fontId="12" numFmtId="10" xfId="0" applyAlignment="1" applyFont="1" applyNumberFormat="1">
      <alignment horizontal="left"/>
    </xf>
    <xf borderId="0" fillId="0" fontId="13" numFmtId="10" xfId="0" applyFont="1" applyNumberFormat="1"/>
    <xf borderId="0" fillId="0" fontId="12" numFmtId="164" xfId="0" applyAlignment="1" applyFont="1" applyNumberForma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86"/>
    <col customWidth="1" min="2" max="2" width="8.71"/>
    <col customWidth="1" min="3" max="3" width="136.86"/>
    <col customWidth="1" min="4" max="26" width="8.71"/>
  </cols>
  <sheetData>
    <row r="5">
      <c r="A5" s="1" t="s">
        <v>0</v>
      </c>
      <c r="B5" s="2"/>
      <c r="C5" s="2"/>
    </row>
    <row r="6">
      <c r="A6" s="1" t="s">
        <v>1</v>
      </c>
      <c r="B6" s="3"/>
      <c r="C6" s="3"/>
    </row>
    <row r="7" ht="15.0" customHeight="1">
      <c r="A7" s="3"/>
      <c r="B7" s="3"/>
      <c r="C7" s="3"/>
    </row>
    <row r="8" ht="12.75" customHeight="1">
      <c r="A8" s="4"/>
      <c r="B8" s="5"/>
      <c r="C8"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0.29"/>
    <col customWidth="1" min="2" max="2" width="19.43"/>
    <col customWidth="1" min="3" max="3" width="26.57"/>
    <col customWidth="1" min="4" max="4" width="15.71"/>
    <col customWidth="1" min="5" max="5" width="17.29"/>
    <col customWidth="1" min="6" max="26" width="9.14"/>
  </cols>
  <sheetData>
    <row r="1" ht="12.0" customHeight="1">
      <c r="A1" s="6" t="s">
        <v>2</v>
      </c>
      <c r="B1" s="7" t="s">
        <v>3</v>
      </c>
      <c r="C1" s="7"/>
      <c r="D1" s="7"/>
      <c r="E1" s="7"/>
      <c r="F1" s="8"/>
      <c r="G1" s="8"/>
      <c r="H1" s="8"/>
      <c r="I1" s="8"/>
      <c r="J1" s="8"/>
      <c r="K1" s="8"/>
      <c r="L1" s="8"/>
      <c r="M1" s="8"/>
      <c r="N1" s="8"/>
      <c r="O1" s="8"/>
      <c r="P1" s="8"/>
      <c r="Q1" s="8"/>
      <c r="R1" s="8"/>
      <c r="S1" s="8"/>
      <c r="T1" s="8"/>
      <c r="U1" s="8"/>
      <c r="V1" s="8"/>
      <c r="W1" s="8"/>
      <c r="X1" s="8"/>
      <c r="Y1" s="8"/>
      <c r="Z1" s="8"/>
    </row>
    <row r="2" ht="12.0" customHeight="1">
      <c r="A2" s="9"/>
      <c r="B2" s="9"/>
      <c r="C2" s="10"/>
      <c r="D2" s="9"/>
      <c r="E2" s="9"/>
      <c r="F2" s="8"/>
      <c r="G2" s="8"/>
      <c r="H2" s="8"/>
      <c r="I2" s="8"/>
      <c r="J2" s="8"/>
      <c r="K2" s="8"/>
      <c r="L2" s="8"/>
      <c r="M2" s="8"/>
      <c r="N2" s="8"/>
      <c r="O2" s="8"/>
      <c r="P2" s="8"/>
      <c r="Q2" s="8"/>
      <c r="R2" s="8"/>
      <c r="S2" s="8"/>
      <c r="T2" s="8"/>
      <c r="U2" s="8"/>
      <c r="V2" s="8"/>
      <c r="W2" s="8"/>
      <c r="X2" s="8"/>
      <c r="Y2" s="8"/>
      <c r="Z2" s="8"/>
    </row>
    <row r="3" ht="12.0" customHeight="1">
      <c r="A3" s="11" t="s">
        <v>4</v>
      </c>
      <c r="B3" s="12">
        <v>1994.0</v>
      </c>
      <c r="C3" s="13"/>
      <c r="D3" s="12"/>
      <c r="E3" s="12"/>
      <c r="F3" s="8"/>
      <c r="G3" s="8"/>
      <c r="H3" s="8"/>
      <c r="I3" s="8"/>
      <c r="J3" s="8"/>
      <c r="K3" s="8"/>
      <c r="L3" s="8"/>
      <c r="M3" s="8"/>
      <c r="N3" s="8"/>
      <c r="O3" s="8"/>
      <c r="P3" s="8"/>
      <c r="Q3" s="8"/>
      <c r="R3" s="8"/>
      <c r="S3" s="8"/>
      <c r="T3" s="8"/>
      <c r="U3" s="8"/>
      <c r="V3" s="8"/>
      <c r="W3" s="8"/>
      <c r="X3" s="8"/>
      <c r="Y3" s="8"/>
      <c r="Z3" s="8"/>
    </row>
    <row r="4" ht="12.0" customHeight="1">
      <c r="A4" s="11" t="s">
        <v>5</v>
      </c>
      <c r="B4" s="12">
        <v>1990.0</v>
      </c>
      <c r="C4" s="13"/>
      <c r="D4" s="12"/>
      <c r="E4" s="12"/>
      <c r="F4" s="8"/>
      <c r="G4" s="8"/>
      <c r="H4" s="8"/>
      <c r="I4" s="8"/>
      <c r="J4" s="8"/>
      <c r="K4" s="8"/>
      <c r="L4" s="8"/>
      <c r="M4" s="8"/>
      <c r="N4" s="8"/>
      <c r="O4" s="8"/>
      <c r="P4" s="8"/>
      <c r="Q4" s="8"/>
      <c r="R4" s="8"/>
      <c r="S4" s="8"/>
      <c r="T4" s="8"/>
      <c r="U4" s="8"/>
      <c r="V4" s="8"/>
      <c r="W4" s="8"/>
      <c r="X4" s="8"/>
      <c r="Y4" s="8"/>
      <c r="Z4" s="8"/>
    </row>
    <row r="5" ht="12.0" customHeight="1">
      <c r="A5" s="11" t="s">
        <v>6</v>
      </c>
      <c r="B5" s="12"/>
      <c r="C5" s="13"/>
      <c r="D5" s="12"/>
      <c r="E5" s="12"/>
      <c r="F5" s="8"/>
      <c r="G5" s="8"/>
      <c r="H5" s="8"/>
      <c r="I5" s="8"/>
      <c r="J5" s="8"/>
      <c r="K5" s="8"/>
      <c r="L5" s="8"/>
      <c r="M5" s="8"/>
      <c r="N5" s="8"/>
      <c r="O5" s="8"/>
      <c r="P5" s="8"/>
      <c r="Q5" s="8"/>
      <c r="R5" s="8"/>
      <c r="S5" s="8"/>
      <c r="T5" s="8"/>
      <c r="U5" s="8"/>
      <c r="V5" s="8"/>
      <c r="W5" s="8"/>
      <c r="X5" s="8"/>
      <c r="Y5" s="8"/>
      <c r="Z5" s="8"/>
    </row>
    <row r="6" ht="12.0" customHeight="1">
      <c r="A6" s="11" t="s">
        <v>7</v>
      </c>
      <c r="B6" s="12" t="s">
        <v>8</v>
      </c>
      <c r="C6" s="13"/>
      <c r="D6" s="12"/>
      <c r="E6" s="12"/>
      <c r="F6" s="8"/>
      <c r="G6" s="8"/>
      <c r="H6" s="8"/>
      <c r="I6" s="8"/>
      <c r="J6" s="8"/>
      <c r="K6" s="8"/>
      <c r="L6" s="8"/>
      <c r="M6" s="8"/>
      <c r="N6" s="8"/>
      <c r="O6" s="8"/>
      <c r="P6" s="8"/>
      <c r="Q6" s="8"/>
      <c r="R6" s="8"/>
      <c r="S6" s="8"/>
      <c r="T6" s="8"/>
      <c r="U6" s="8"/>
      <c r="V6" s="8"/>
      <c r="W6" s="8"/>
      <c r="X6" s="8"/>
      <c r="Y6" s="8"/>
      <c r="Z6" s="8"/>
    </row>
    <row r="7" ht="12.0" customHeight="1">
      <c r="A7" s="11" t="s">
        <v>9</v>
      </c>
      <c r="B7" s="12">
        <v>1994.0</v>
      </c>
      <c r="C7" s="13"/>
      <c r="D7" s="12"/>
      <c r="E7" s="12"/>
      <c r="F7" s="8"/>
      <c r="G7" s="8"/>
      <c r="H7" s="8"/>
      <c r="I7" s="8"/>
      <c r="J7" s="8"/>
      <c r="K7" s="8"/>
      <c r="L7" s="8"/>
      <c r="M7" s="8"/>
      <c r="N7" s="8"/>
      <c r="O7" s="8"/>
      <c r="P7" s="8"/>
      <c r="Q7" s="8"/>
      <c r="R7" s="8"/>
      <c r="S7" s="8"/>
      <c r="T7" s="8"/>
      <c r="U7" s="8"/>
      <c r="V7" s="8"/>
      <c r="W7" s="8"/>
      <c r="X7" s="8"/>
      <c r="Y7" s="8"/>
      <c r="Z7" s="8"/>
    </row>
    <row r="8" ht="12.0" customHeight="1">
      <c r="A8" s="11" t="s">
        <v>10</v>
      </c>
      <c r="B8" s="12"/>
      <c r="C8" s="13"/>
      <c r="D8" s="12"/>
      <c r="E8" s="12"/>
      <c r="F8" s="8"/>
      <c r="G8" s="8"/>
      <c r="H8" s="8"/>
      <c r="I8" s="8"/>
      <c r="J8" s="8"/>
      <c r="K8" s="8"/>
      <c r="L8" s="8"/>
      <c r="M8" s="8"/>
      <c r="N8" s="8"/>
      <c r="O8" s="8"/>
      <c r="P8" s="8"/>
      <c r="Q8" s="8"/>
      <c r="R8" s="8"/>
      <c r="S8" s="8"/>
      <c r="T8" s="8"/>
      <c r="U8" s="8"/>
      <c r="V8" s="8"/>
      <c r="W8" s="8"/>
      <c r="X8" s="8"/>
      <c r="Y8" s="8"/>
      <c r="Z8" s="8"/>
    </row>
    <row r="9" ht="12.0" customHeight="1">
      <c r="A9" s="11" t="s">
        <v>11</v>
      </c>
      <c r="B9" s="12">
        <v>2008.0</v>
      </c>
      <c r="C9" s="13"/>
      <c r="D9" s="12"/>
      <c r="E9" s="12"/>
      <c r="F9" s="8"/>
      <c r="G9" s="8"/>
      <c r="H9" s="8"/>
      <c r="I9" s="8"/>
      <c r="J9" s="8"/>
      <c r="K9" s="8"/>
      <c r="L9" s="8"/>
      <c r="M9" s="8"/>
      <c r="N9" s="8"/>
      <c r="O9" s="8"/>
      <c r="P9" s="8"/>
      <c r="Q9" s="8"/>
      <c r="R9" s="8"/>
      <c r="S9" s="8"/>
      <c r="T9" s="8"/>
      <c r="U9" s="8"/>
      <c r="V9" s="8"/>
      <c r="W9" s="8"/>
      <c r="X9" s="8"/>
      <c r="Y9" s="8"/>
      <c r="Z9" s="8"/>
    </row>
    <row r="10" ht="12.0" customHeight="1">
      <c r="A10" s="11" t="s">
        <v>12</v>
      </c>
      <c r="B10" s="12">
        <v>1995.0</v>
      </c>
      <c r="C10" s="13"/>
      <c r="D10" s="12"/>
      <c r="E10" s="12"/>
      <c r="F10" s="8"/>
      <c r="G10" s="8"/>
      <c r="H10" s="8"/>
      <c r="I10" s="8"/>
      <c r="J10" s="8"/>
      <c r="K10" s="8"/>
      <c r="L10" s="8"/>
      <c r="M10" s="8"/>
      <c r="N10" s="8"/>
      <c r="O10" s="8"/>
      <c r="P10" s="8"/>
      <c r="Q10" s="8"/>
      <c r="R10" s="8"/>
      <c r="S10" s="8"/>
      <c r="T10" s="8"/>
      <c r="U10" s="8"/>
      <c r="V10" s="8"/>
      <c r="W10" s="8"/>
      <c r="X10" s="8"/>
      <c r="Y10" s="8"/>
      <c r="Z10" s="8"/>
    </row>
    <row r="11" ht="12.0" customHeight="1">
      <c r="A11" s="11" t="s">
        <v>13</v>
      </c>
      <c r="B11" s="12">
        <v>1987.0</v>
      </c>
      <c r="C11" s="13"/>
      <c r="D11" s="12"/>
      <c r="E11" s="12"/>
      <c r="F11" s="8"/>
      <c r="G11" s="8"/>
      <c r="H11" s="8"/>
      <c r="I11" s="8"/>
      <c r="J11" s="8"/>
      <c r="K11" s="8"/>
      <c r="L11" s="8"/>
      <c r="M11" s="8"/>
      <c r="N11" s="8"/>
      <c r="O11" s="8"/>
      <c r="P11" s="8"/>
      <c r="Q11" s="8"/>
      <c r="R11" s="8"/>
      <c r="S11" s="8"/>
      <c r="T11" s="8"/>
      <c r="U11" s="8"/>
      <c r="V11" s="8"/>
      <c r="W11" s="8"/>
      <c r="X11" s="8"/>
      <c r="Y11" s="8"/>
      <c r="Z11" s="8"/>
    </row>
    <row r="12" ht="12.0" customHeight="1">
      <c r="A12" s="8" t="s">
        <v>14</v>
      </c>
      <c r="B12" s="12"/>
      <c r="C12" s="13"/>
      <c r="D12" s="12"/>
      <c r="E12" s="12"/>
      <c r="F12" s="8"/>
      <c r="G12" s="8"/>
      <c r="H12" s="8"/>
      <c r="I12" s="8"/>
      <c r="J12" s="8"/>
      <c r="K12" s="8"/>
      <c r="L12" s="8"/>
      <c r="M12" s="8"/>
      <c r="N12" s="8"/>
      <c r="O12" s="8"/>
      <c r="P12" s="8"/>
      <c r="Q12" s="8"/>
      <c r="R12" s="8"/>
      <c r="S12" s="8"/>
      <c r="T12" s="8"/>
      <c r="U12" s="8"/>
      <c r="V12" s="8"/>
      <c r="W12" s="8"/>
      <c r="X12" s="8"/>
      <c r="Y12" s="8"/>
      <c r="Z12" s="8"/>
    </row>
    <row r="13" ht="12.0" customHeight="1">
      <c r="A13" s="11" t="s">
        <v>15</v>
      </c>
      <c r="B13" s="12">
        <v>1995.0</v>
      </c>
      <c r="C13" s="13"/>
      <c r="D13" s="12"/>
      <c r="E13" s="12"/>
      <c r="F13" s="8"/>
      <c r="G13" s="8"/>
      <c r="H13" s="8"/>
      <c r="I13" s="8"/>
      <c r="J13" s="8"/>
      <c r="K13" s="8"/>
      <c r="L13" s="8"/>
      <c r="M13" s="8"/>
      <c r="N13" s="8"/>
      <c r="O13" s="8"/>
      <c r="P13" s="8"/>
      <c r="Q13" s="8"/>
      <c r="R13" s="8"/>
      <c r="S13" s="8"/>
      <c r="T13" s="8"/>
      <c r="U13" s="8"/>
      <c r="V13" s="8"/>
      <c r="W13" s="8"/>
      <c r="X13" s="8"/>
      <c r="Y13" s="8"/>
      <c r="Z13" s="8"/>
    </row>
    <row r="14" ht="12.0" customHeight="1">
      <c r="A14" s="11" t="s">
        <v>16</v>
      </c>
      <c r="B14" s="12">
        <v>2008.0</v>
      </c>
      <c r="C14" s="13"/>
      <c r="D14" s="12"/>
      <c r="E14" s="12"/>
      <c r="F14" s="8"/>
      <c r="G14" s="8"/>
      <c r="H14" s="8"/>
      <c r="I14" s="8"/>
      <c r="J14" s="8"/>
      <c r="K14" s="8"/>
      <c r="L14" s="8"/>
      <c r="M14" s="8"/>
      <c r="N14" s="8"/>
      <c r="O14" s="8"/>
      <c r="P14" s="8"/>
      <c r="Q14" s="8"/>
      <c r="R14" s="8"/>
      <c r="S14" s="8"/>
      <c r="T14" s="8"/>
      <c r="U14" s="8"/>
      <c r="V14" s="8"/>
      <c r="W14" s="8"/>
      <c r="X14" s="8"/>
      <c r="Y14" s="8"/>
      <c r="Z14" s="8"/>
    </row>
    <row r="15" ht="12.0" customHeight="1">
      <c r="A15" s="8" t="s">
        <v>17</v>
      </c>
      <c r="B15" s="13"/>
      <c r="C15" s="13"/>
      <c r="D15" s="14"/>
      <c r="E15" s="12"/>
      <c r="F15" s="8"/>
      <c r="G15" s="8"/>
      <c r="H15" s="8"/>
      <c r="I15" s="8"/>
      <c r="J15" s="8"/>
      <c r="K15" s="8"/>
      <c r="L15" s="8"/>
      <c r="M15" s="8"/>
      <c r="N15" s="8"/>
      <c r="O15" s="8"/>
      <c r="P15" s="8"/>
      <c r="Q15" s="8"/>
      <c r="R15" s="8"/>
      <c r="S15" s="8"/>
      <c r="T15" s="8"/>
      <c r="U15" s="8"/>
      <c r="V15" s="8"/>
      <c r="W15" s="8"/>
      <c r="X15" s="8"/>
      <c r="Y15" s="8"/>
      <c r="Z15" s="8"/>
    </row>
    <row r="16" ht="12.0" customHeight="1">
      <c r="A16" s="11" t="s">
        <v>18</v>
      </c>
      <c r="B16" s="12">
        <v>1988.0</v>
      </c>
      <c r="C16" s="13"/>
      <c r="D16" s="12"/>
      <c r="E16" s="12"/>
      <c r="F16" s="8"/>
      <c r="G16" s="8"/>
      <c r="H16" s="8"/>
      <c r="I16" s="8"/>
      <c r="J16" s="8"/>
      <c r="K16" s="8"/>
      <c r="L16" s="8"/>
      <c r="M16" s="8"/>
      <c r="N16" s="8"/>
      <c r="O16" s="8"/>
      <c r="P16" s="8"/>
      <c r="Q16" s="8"/>
      <c r="R16" s="8"/>
      <c r="S16" s="8"/>
      <c r="T16" s="8"/>
      <c r="U16" s="8"/>
      <c r="V16" s="8"/>
      <c r="W16" s="8"/>
      <c r="X16" s="8"/>
      <c r="Y16" s="8"/>
      <c r="Z16" s="8"/>
    </row>
    <row r="17" ht="12.0" customHeight="1">
      <c r="A17" s="8" t="s">
        <v>19</v>
      </c>
      <c r="B17" s="13"/>
      <c r="C17" s="13"/>
      <c r="D17" s="12"/>
      <c r="E17" s="12"/>
      <c r="F17" s="8"/>
      <c r="G17" s="8"/>
      <c r="H17" s="8"/>
      <c r="I17" s="8"/>
      <c r="J17" s="8"/>
      <c r="K17" s="8"/>
      <c r="L17" s="8"/>
      <c r="M17" s="8"/>
      <c r="N17" s="8"/>
      <c r="O17" s="8"/>
      <c r="P17" s="8"/>
      <c r="Q17" s="8"/>
      <c r="R17" s="8"/>
      <c r="S17" s="8"/>
      <c r="T17" s="8"/>
      <c r="U17" s="8"/>
      <c r="V17" s="8"/>
      <c r="W17" s="8"/>
      <c r="X17" s="8"/>
      <c r="Y17" s="8"/>
      <c r="Z17" s="8"/>
    </row>
    <row r="18" ht="12.0" customHeight="1">
      <c r="A18" s="11" t="s">
        <v>20</v>
      </c>
      <c r="B18" s="12" t="s">
        <v>21</v>
      </c>
      <c r="C18" s="13"/>
      <c r="D18" s="12"/>
      <c r="E18" s="12"/>
      <c r="F18" s="8"/>
      <c r="G18" s="8"/>
      <c r="H18" s="8"/>
      <c r="I18" s="8"/>
      <c r="J18" s="8"/>
      <c r="K18" s="8"/>
      <c r="L18" s="8"/>
      <c r="M18" s="8"/>
      <c r="N18" s="8"/>
      <c r="O18" s="8"/>
      <c r="P18" s="8"/>
      <c r="Q18" s="8"/>
      <c r="R18" s="8"/>
      <c r="S18" s="8"/>
      <c r="T18" s="8"/>
      <c r="U18" s="8"/>
      <c r="V18" s="8"/>
      <c r="W18" s="8"/>
      <c r="X18" s="8"/>
      <c r="Y18" s="8"/>
      <c r="Z18" s="8"/>
    </row>
    <row r="19" ht="12.0" customHeight="1">
      <c r="A19" s="11" t="s">
        <v>22</v>
      </c>
      <c r="B19" s="12">
        <v>1992.0</v>
      </c>
      <c r="C19" s="13"/>
      <c r="D19" s="12"/>
      <c r="E19" s="12"/>
      <c r="F19" s="8"/>
      <c r="G19" s="8"/>
      <c r="H19" s="8"/>
      <c r="I19" s="8"/>
      <c r="J19" s="8"/>
      <c r="K19" s="8"/>
      <c r="L19" s="8"/>
      <c r="M19" s="8"/>
      <c r="N19" s="8"/>
      <c r="O19" s="8"/>
      <c r="P19" s="8"/>
      <c r="Q19" s="8"/>
      <c r="R19" s="8"/>
      <c r="S19" s="8"/>
      <c r="T19" s="8"/>
      <c r="U19" s="8"/>
      <c r="V19" s="8"/>
      <c r="W19" s="8"/>
      <c r="X19" s="8"/>
      <c r="Y19" s="8"/>
      <c r="Z19" s="8"/>
    </row>
    <row r="20" ht="12.0" customHeight="1">
      <c r="A20" s="11" t="s">
        <v>23</v>
      </c>
      <c r="B20" s="12"/>
      <c r="C20" s="13"/>
      <c r="D20" s="12"/>
      <c r="E20" s="12"/>
      <c r="F20" s="8"/>
      <c r="G20" s="8"/>
      <c r="H20" s="8"/>
      <c r="I20" s="8"/>
      <c r="J20" s="8"/>
      <c r="K20" s="8"/>
      <c r="L20" s="8"/>
      <c r="M20" s="8"/>
      <c r="N20" s="8"/>
      <c r="O20" s="8"/>
      <c r="P20" s="8"/>
      <c r="Q20" s="8"/>
      <c r="R20" s="8"/>
      <c r="S20" s="8"/>
      <c r="T20" s="8"/>
      <c r="U20" s="8"/>
      <c r="V20" s="8"/>
      <c r="W20" s="8"/>
      <c r="X20" s="8"/>
      <c r="Y20" s="8"/>
      <c r="Z20" s="8"/>
    </row>
    <row r="21" ht="12.0" customHeight="1">
      <c r="A21" s="11" t="s">
        <v>24</v>
      </c>
      <c r="B21" s="12" t="s">
        <v>25</v>
      </c>
      <c r="C21" s="13"/>
      <c r="D21" s="12"/>
      <c r="E21" s="12"/>
      <c r="F21" s="8"/>
      <c r="G21" s="8"/>
      <c r="H21" s="8"/>
      <c r="I21" s="8"/>
      <c r="J21" s="8"/>
      <c r="K21" s="8"/>
      <c r="L21" s="8"/>
      <c r="M21" s="8"/>
      <c r="N21" s="8"/>
      <c r="O21" s="8"/>
      <c r="P21" s="8"/>
      <c r="Q21" s="8"/>
      <c r="R21" s="8"/>
      <c r="S21" s="8"/>
      <c r="T21" s="8"/>
      <c r="U21" s="8"/>
      <c r="V21" s="8"/>
      <c r="W21" s="8"/>
      <c r="X21" s="8"/>
      <c r="Y21" s="8"/>
      <c r="Z21" s="8"/>
    </row>
    <row r="22" ht="12.0" customHeight="1">
      <c r="A22" s="11" t="s">
        <v>26</v>
      </c>
      <c r="B22" s="12"/>
      <c r="C22" s="13"/>
      <c r="D22" s="12"/>
      <c r="E22" s="12"/>
      <c r="F22" s="8"/>
      <c r="G22" s="8"/>
      <c r="H22" s="8"/>
      <c r="I22" s="8"/>
      <c r="J22" s="8"/>
      <c r="K22" s="8"/>
      <c r="L22" s="8"/>
      <c r="M22" s="8"/>
      <c r="N22" s="8"/>
      <c r="O22" s="8"/>
      <c r="P22" s="8"/>
      <c r="Q22" s="8"/>
      <c r="R22" s="8"/>
      <c r="S22" s="8"/>
      <c r="T22" s="8"/>
      <c r="U22" s="8"/>
      <c r="V22" s="8"/>
      <c r="W22" s="8"/>
      <c r="X22" s="8"/>
      <c r="Y22" s="8"/>
      <c r="Z22" s="8"/>
    </row>
    <row r="23" ht="12.0" customHeight="1">
      <c r="A23" s="11" t="s">
        <v>27</v>
      </c>
      <c r="B23" s="12">
        <v>1996.0</v>
      </c>
      <c r="C23" s="13"/>
      <c r="D23" s="12"/>
      <c r="E23" s="12"/>
      <c r="F23" s="8"/>
      <c r="G23" s="8"/>
      <c r="H23" s="8"/>
      <c r="I23" s="8"/>
      <c r="J23" s="8"/>
      <c r="K23" s="8"/>
      <c r="L23" s="8"/>
      <c r="M23" s="8"/>
      <c r="N23" s="8"/>
      <c r="O23" s="8"/>
      <c r="P23" s="8"/>
      <c r="Q23" s="8"/>
      <c r="R23" s="8"/>
      <c r="S23" s="8"/>
      <c r="T23" s="8"/>
      <c r="U23" s="8"/>
      <c r="V23" s="8"/>
      <c r="W23" s="8"/>
      <c r="X23" s="8"/>
      <c r="Y23" s="8"/>
      <c r="Z23" s="8"/>
    </row>
    <row r="24" ht="12.0" customHeight="1">
      <c r="A24" s="11" t="s">
        <v>28</v>
      </c>
      <c r="B24" s="12">
        <v>1990.0</v>
      </c>
      <c r="C24" s="13"/>
      <c r="D24" s="12"/>
      <c r="E24" s="12"/>
      <c r="F24" s="8"/>
      <c r="G24" s="8"/>
      <c r="H24" s="8"/>
      <c r="I24" s="8"/>
      <c r="J24" s="8"/>
      <c r="K24" s="8"/>
      <c r="L24" s="8"/>
      <c r="M24" s="8"/>
      <c r="N24" s="8"/>
      <c r="O24" s="8"/>
      <c r="P24" s="8"/>
      <c r="Q24" s="8"/>
      <c r="R24" s="8"/>
      <c r="S24" s="8"/>
      <c r="T24" s="8"/>
      <c r="U24" s="8"/>
      <c r="V24" s="8"/>
      <c r="W24" s="8"/>
      <c r="X24" s="8"/>
      <c r="Y24" s="8"/>
      <c r="Z24" s="8"/>
    </row>
    <row r="25" ht="12.0" customHeight="1">
      <c r="A25" s="11" t="s">
        <v>29</v>
      </c>
      <c r="B25" s="12">
        <v>1994.0</v>
      </c>
      <c r="C25" s="13"/>
      <c r="D25" s="12"/>
      <c r="E25" s="12"/>
      <c r="F25" s="8"/>
      <c r="G25" s="8"/>
      <c r="H25" s="8"/>
      <c r="I25" s="8"/>
      <c r="J25" s="8"/>
      <c r="K25" s="8"/>
      <c r="L25" s="8"/>
      <c r="M25" s="8"/>
      <c r="N25" s="8"/>
      <c r="O25" s="8"/>
      <c r="P25" s="8"/>
      <c r="Q25" s="8"/>
      <c r="R25" s="8"/>
      <c r="S25" s="8"/>
      <c r="T25" s="8"/>
      <c r="U25" s="8"/>
      <c r="V25" s="8"/>
      <c r="W25" s="8"/>
      <c r="X25" s="8"/>
      <c r="Y25" s="8"/>
      <c r="Z25" s="8"/>
    </row>
    <row r="26" ht="12.0" customHeight="1">
      <c r="A26" s="8" t="s">
        <v>30</v>
      </c>
      <c r="B26" s="13"/>
      <c r="C26" s="13"/>
      <c r="D26" s="12"/>
      <c r="E26" s="12"/>
      <c r="F26" s="8"/>
      <c r="G26" s="8"/>
      <c r="H26" s="8"/>
      <c r="I26" s="8"/>
      <c r="J26" s="8"/>
      <c r="K26" s="8"/>
      <c r="L26" s="8"/>
      <c r="M26" s="8"/>
      <c r="N26" s="8"/>
      <c r="O26" s="8"/>
      <c r="P26" s="8"/>
      <c r="Q26" s="8"/>
      <c r="R26" s="8"/>
      <c r="S26" s="8"/>
      <c r="T26" s="8"/>
      <c r="U26" s="8"/>
      <c r="V26" s="8"/>
      <c r="W26" s="8"/>
      <c r="X26" s="8"/>
      <c r="Y26" s="8"/>
      <c r="Z26" s="8"/>
    </row>
    <row r="27" ht="12.0" customHeight="1">
      <c r="A27" s="11" t="s">
        <v>31</v>
      </c>
      <c r="B27" s="12" t="s">
        <v>32</v>
      </c>
      <c r="C27" s="13"/>
      <c r="D27" s="12"/>
      <c r="E27" s="12"/>
      <c r="F27" s="8"/>
      <c r="G27" s="8"/>
      <c r="H27" s="8"/>
      <c r="I27" s="8"/>
      <c r="J27" s="8"/>
      <c r="K27" s="8"/>
      <c r="L27" s="8"/>
      <c r="M27" s="8"/>
      <c r="N27" s="8"/>
      <c r="O27" s="8"/>
      <c r="P27" s="8"/>
      <c r="Q27" s="8"/>
      <c r="R27" s="8"/>
      <c r="S27" s="8"/>
      <c r="T27" s="8"/>
      <c r="U27" s="8"/>
      <c r="V27" s="8"/>
      <c r="W27" s="8"/>
      <c r="X27" s="8"/>
      <c r="Y27" s="8"/>
      <c r="Z27" s="8"/>
    </row>
    <row r="28" ht="12.0" customHeight="1">
      <c r="A28" s="11" t="s">
        <v>33</v>
      </c>
      <c r="B28" s="12"/>
      <c r="C28" s="13"/>
      <c r="D28" s="12"/>
      <c r="E28" s="12"/>
      <c r="F28" s="8"/>
      <c r="G28" s="8"/>
      <c r="H28" s="8"/>
      <c r="I28" s="8"/>
      <c r="J28" s="8"/>
      <c r="K28" s="8"/>
      <c r="L28" s="8"/>
      <c r="M28" s="8"/>
      <c r="N28" s="8"/>
      <c r="O28" s="8"/>
      <c r="P28" s="8"/>
      <c r="Q28" s="8"/>
      <c r="R28" s="8"/>
      <c r="S28" s="8"/>
      <c r="T28" s="8"/>
      <c r="U28" s="8"/>
      <c r="V28" s="8"/>
      <c r="W28" s="8"/>
      <c r="X28" s="8"/>
      <c r="Y28" s="8"/>
      <c r="Z28" s="8"/>
    </row>
    <row r="29" ht="12.0" customHeight="1">
      <c r="A29" s="11" t="s">
        <v>34</v>
      </c>
      <c r="B29" s="12">
        <v>1993.0</v>
      </c>
      <c r="C29" s="13"/>
      <c r="D29" s="12"/>
      <c r="E29" s="12"/>
      <c r="F29" s="8"/>
      <c r="G29" s="8"/>
      <c r="H29" s="8"/>
      <c r="I29" s="8"/>
      <c r="J29" s="8"/>
      <c r="K29" s="8"/>
      <c r="L29" s="8"/>
      <c r="M29" s="8"/>
      <c r="N29" s="8"/>
      <c r="O29" s="8"/>
      <c r="P29" s="8"/>
      <c r="Q29" s="8"/>
      <c r="R29" s="8"/>
      <c r="S29" s="8"/>
      <c r="T29" s="8"/>
      <c r="U29" s="8"/>
      <c r="V29" s="8"/>
      <c r="W29" s="8"/>
      <c r="X29" s="8"/>
      <c r="Y29" s="8"/>
      <c r="Z29" s="8"/>
    </row>
    <row r="30" ht="12.0" customHeight="1">
      <c r="A30" s="11" t="s">
        <v>35</v>
      </c>
      <c r="B30" s="12" t="s">
        <v>36</v>
      </c>
      <c r="C30" s="13"/>
      <c r="D30" s="12"/>
      <c r="E30" s="12"/>
      <c r="F30" s="8"/>
      <c r="G30" s="8"/>
      <c r="H30" s="8"/>
      <c r="I30" s="8"/>
      <c r="J30" s="8"/>
      <c r="K30" s="8"/>
      <c r="L30" s="8"/>
      <c r="M30" s="8"/>
      <c r="N30" s="8"/>
      <c r="O30" s="8"/>
      <c r="P30" s="8"/>
      <c r="Q30" s="8"/>
      <c r="R30" s="8"/>
      <c r="S30" s="8"/>
      <c r="T30" s="8"/>
      <c r="U30" s="8"/>
      <c r="V30" s="8"/>
      <c r="W30" s="8"/>
      <c r="X30" s="8"/>
      <c r="Y30" s="8"/>
      <c r="Z30" s="8"/>
    </row>
    <row r="31" ht="12.0" customHeight="1">
      <c r="A31" s="11" t="s">
        <v>37</v>
      </c>
      <c r="B31" s="12" t="s">
        <v>38</v>
      </c>
      <c r="C31" s="13"/>
      <c r="D31" s="12"/>
      <c r="E31" s="12"/>
      <c r="F31" s="8"/>
      <c r="G31" s="8"/>
      <c r="H31" s="8"/>
      <c r="I31" s="8"/>
      <c r="J31" s="8"/>
      <c r="K31" s="8"/>
      <c r="L31" s="8"/>
      <c r="M31" s="8"/>
      <c r="N31" s="8"/>
      <c r="O31" s="8"/>
      <c r="P31" s="8"/>
      <c r="Q31" s="8"/>
      <c r="R31" s="8"/>
      <c r="S31" s="8"/>
      <c r="T31" s="8"/>
      <c r="U31" s="8"/>
      <c r="V31" s="8"/>
      <c r="W31" s="8"/>
      <c r="X31" s="8"/>
      <c r="Y31" s="8"/>
      <c r="Z31" s="8"/>
    </row>
    <row r="32" ht="12.0" customHeight="1">
      <c r="A32" s="11" t="s">
        <v>39</v>
      </c>
      <c r="B32" s="12" t="s">
        <v>40</v>
      </c>
      <c r="C32" s="13"/>
      <c r="D32" s="12"/>
      <c r="E32" s="12"/>
      <c r="F32" s="8"/>
      <c r="G32" s="8"/>
      <c r="H32" s="8"/>
      <c r="I32" s="8"/>
      <c r="J32" s="8"/>
      <c r="K32" s="8"/>
      <c r="L32" s="8"/>
      <c r="M32" s="8"/>
      <c r="N32" s="8"/>
      <c r="O32" s="8"/>
      <c r="P32" s="8"/>
      <c r="Q32" s="8"/>
      <c r="R32" s="8"/>
      <c r="S32" s="8"/>
      <c r="T32" s="8"/>
      <c r="U32" s="8"/>
      <c r="V32" s="8"/>
      <c r="W32" s="8"/>
      <c r="X32" s="8"/>
      <c r="Y32" s="8"/>
      <c r="Z32" s="8"/>
    </row>
    <row r="33" ht="12.0" customHeight="1">
      <c r="A33" s="11" t="s">
        <v>41</v>
      </c>
      <c r="B33" s="12">
        <v>1998.0</v>
      </c>
      <c r="C33" s="13"/>
      <c r="D33" s="12"/>
      <c r="E33" s="12"/>
      <c r="F33" s="8"/>
      <c r="G33" s="8"/>
      <c r="H33" s="8"/>
      <c r="I33" s="8"/>
      <c r="J33" s="8"/>
      <c r="K33" s="8"/>
      <c r="L33" s="8"/>
      <c r="M33" s="8"/>
      <c r="N33" s="8"/>
      <c r="O33" s="8"/>
      <c r="P33" s="8"/>
      <c r="Q33" s="8"/>
      <c r="R33" s="8"/>
      <c r="S33" s="8"/>
      <c r="T33" s="8"/>
      <c r="U33" s="8"/>
      <c r="V33" s="8"/>
      <c r="W33" s="8"/>
      <c r="X33" s="8"/>
      <c r="Y33" s="8"/>
      <c r="Z33" s="8"/>
    </row>
    <row r="34" ht="12.0" customHeight="1">
      <c r="A34" s="11" t="s">
        <v>42</v>
      </c>
      <c r="B34" s="12" t="s">
        <v>43</v>
      </c>
      <c r="C34" s="13"/>
      <c r="D34" s="12"/>
      <c r="E34" s="12"/>
      <c r="F34" s="8"/>
      <c r="G34" s="8"/>
      <c r="H34" s="8"/>
      <c r="I34" s="8"/>
      <c r="J34" s="8"/>
      <c r="K34" s="8"/>
      <c r="L34" s="8"/>
      <c r="M34" s="8"/>
      <c r="N34" s="8"/>
      <c r="O34" s="8"/>
      <c r="P34" s="8"/>
      <c r="Q34" s="8"/>
      <c r="R34" s="8"/>
      <c r="S34" s="8"/>
      <c r="T34" s="8"/>
      <c r="U34" s="8"/>
      <c r="V34" s="8"/>
      <c r="W34" s="8"/>
      <c r="X34" s="8"/>
      <c r="Y34" s="8"/>
      <c r="Z34" s="8"/>
    </row>
    <row r="35" ht="12.0" customHeight="1">
      <c r="A35" s="8" t="s">
        <v>44</v>
      </c>
      <c r="B35" s="13"/>
      <c r="C35" s="13"/>
      <c r="D35" s="12"/>
      <c r="E35" s="12"/>
      <c r="F35" s="8"/>
      <c r="G35" s="8"/>
      <c r="H35" s="8"/>
      <c r="I35" s="8"/>
      <c r="J35" s="8"/>
      <c r="K35" s="8"/>
      <c r="L35" s="8"/>
      <c r="M35" s="8"/>
      <c r="N35" s="8"/>
      <c r="O35" s="8"/>
      <c r="P35" s="8"/>
      <c r="Q35" s="8"/>
      <c r="R35" s="8"/>
      <c r="S35" s="8"/>
      <c r="T35" s="8"/>
      <c r="U35" s="8"/>
      <c r="V35" s="8"/>
      <c r="W35" s="8"/>
      <c r="X35" s="8"/>
      <c r="Y35" s="8"/>
      <c r="Z35" s="8"/>
    </row>
    <row r="36" ht="12.0" customHeight="1">
      <c r="A36" s="11" t="s">
        <v>45</v>
      </c>
      <c r="B36" s="12" t="s">
        <v>46</v>
      </c>
      <c r="C36" s="12"/>
      <c r="D36" s="12"/>
      <c r="E36" s="12"/>
      <c r="F36" s="8"/>
      <c r="G36" s="8"/>
      <c r="H36" s="8"/>
      <c r="I36" s="8"/>
      <c r="J36" s="8"/>
      <c r="K36" s="8"/>
      <c r="L36" s="8"/>
      <c r="M36" s="8"/>
      <c r="N36" s="8"/>
      <c r="O36" s="8"/>
      <c r="P36" s="8"/>
      <c r="Q36" s="8"/>
      <c r="R36" s="8"/>
      <c r="S36" s="8"/>
      <c r="T36" s="8"/>
      <c r="U36" s="8"/>
      <c r="V36" s="8"/>
      <c r="W36" s="8"/>
      <c r="X36" s="8"/>
      <c r="Y36" s="8"/>
      <c r="Z36" s="8"/>
    </row>
    <row r="37" ht="12.0" customHeight="1">
      <c r="A37" s="11" t="s">
        <v>47</v>
      </c>
      <c r="B37" s="12">
        <v>1992.0</v>
      </c>
      <c r="C37" s="13"/>
      <c r="D37" s="12"/>
      <c r="E37" s="12"/>
      <c r="F37" s="8"/>
      <c r="G37" s="8"/>
      <c r="H37" s="8"/>
      <c r="I37" s="8"/>
      <c r="J37" s="8"/>
      <c r="K37" s="8"/>
      <c r="L37" s="8"/>
      <c r="M37" s="8"/>
      <c r="N37" s="8"/>
      <c r="O37" s="8"/>
      <c r="P37" s="8"/>
      <c r="Q37" s="8"/>
      <c r="R37" s="8"/>
      <c r="S37" s="8"/>
      <c r="T37" s="8"/>
      <c r="U37" s="8"/>
      <c r="V37" s="8"/>
      <c r="W37" s="8"/>
      <c r="X37" s="8"/>
      <c r="Y37" s="8"/>
      <c r="Z37" s="8"/>
    </row>
    <row r="38" ht="12.0" customHeight="1">
      <c r="A38" s="11" t="s">
        <v>48</v>
      </c>
      <c r="B38" s="13" t="s">
        <v>49</v>
      </c>
      <c r="C38" s="13"/>
      <c r="D38" s="12"/>
      <c r="E38" s="12"/>
      <c r="F38" s="8"/>
      <c r="G38" s="8"/>
      <c r="H38" s="8"/>
      <c r="I38" s="8"/>
      <c r="J38" s="8"/>
      <c r="K38" s="8"/>
      <c r="L38" s="8"/>
      <c r="M38" s="8"/>
      <c r="N38" s="8"/>
      <c r="O38" s="8"/>
      <c r="P38" s="8"/>
      <c r="Q38" s="8"/>
      <c r="R38" s="8"/>
      <c r="S38" s="8"/>
      <c r="T38" s="8"/>
      <c r="U38" s="8"/>
      <c r="V38" s="8"/>
      <c r="W38" s="8"/>
      <c r="X38" s="8"/>
      <c r="Y38" s="8"/>
      <c r="Z38" s="8"/>
    </row>
    <row r="39" ht="12.0" customHeight="1">
      <c r="A39" s="11" t="s">
        <v>50</v>
      </c>
      <c r="B39" s="12">
        <v>1988.0</v>
      </c>
      <c r="C39" s="13"/>
      <c r="D39" s="12"/>
      <c r="E39" s="12"/>
      <c r="F39" s="8"/>
      <c r="G39" s="8"/>
      <c r="H39" s="8"/>
      <c r="I39" s="8"/>
      <c r="J39" s="8"/>
      <c r="K39" s="8"/>
      <c r="L39" s="8"/>
      <c r="M39" s="8"/>
      <c r="N39" s="8"/>
      <c r="O39" s="8"/>
      <c r="P39" s="8"/>
      <c r="Q39" s="8"/>
      <c r="R39" s="8"/>
      <c r="S39" s="8"/>
      <c r="T39" s="8"/>
      <c r="U39" s="8"/>
      <c r="V39" s="8"/>
      <c r="W39" s="8"/>
      <c r="X39" s="8"/>
      <c r="Y39" s="8"/>
      <c r="Z39" s="8"/>
    </row>
    <row r="40" ht="12.0" customHeight="1">
      <c r="A40" s="8" t="s">
        <v>51</v>
      </c>
      <c r="B40" s="13">
        <v>1998.0</v>
      </c>
      <c r="C40" s="13"/>
      <c r="D40" s="12"/>
      <c r="E40" s="12"/>
      <c r="F40" s="8"/>
      <c r="G40" s="8"/>
      <c r="H40" s="8"/>
      <c r="I40" s="8"/>
      <c r="J40" s="8"/>
      <c r="K40" s="8"/>
      <c r="L40" s="8"/>
      <c r="M40" s="8"/>
      <c r="N40" s="8"/>
      <c r="O40" s="8"/>
      <c r="P40" s="8"/>
      <c r="Q40" s="8"/>
      <c r="R40" s="8"/>
      <c r="S40" s="8"/>
      <c r="T40" s="8"/>
      <c r="U40" s="8"/>
      <c r="V40" s="8"/>
      <c r="W40" s="8"/>
      <c r="X40" s="8"/>
      <c r="Y40" s="8"/>
      <c r="Z40" s="8"/>
    </row>
    <row r="41" ht="12.0" customHeight="1">
      <c r="A41" s="11" t="s">
        <v>52</v>
      </c>
      <c r="B41" s="12">
        <v>1996.0</v>
      </c>
      <c r="C41" s="13"/>
      <c r="D41" s="12"/>
      <c r="E41" s="12"/>
      <c r="F41" s="8"/>
      <c r="G41" s="8"/>
      <c r="H41" s="8"/>
      <c r="I41" s="8"/>
      <c r="J41" s="8"/>
      <c r="K41" s="8"/>
      <c r="L41" s="8"/>
      <c r="M41" s="8"/>
      <c r="N41" s="8"/>
      <c r="O41" s="8"/>
      <c r="P41" s="8"/>
      <c r="Q41" s="8"/>
      <c r="R41" s="8"/>
      <c r="S41" s="8"/>
      <c r="T41" s="8"/>
      <c r="U41" s="8"/>
      <c r="V41" s="8"/>
      <c r="W41" s="8"/>
      <c r="X41" s="8"/>
      <c r="Y41" s="8"/>
      <c r="Z41" s="8"/>
    </row>
    <row r="42" ht="12.0" customHeight="1">
      <c r="A42" s="11" t="s">
        <v>53</v>
      </c>
      <c r="B42" s="12">
        <v>2011.0</v>
      </c>
      <c r="C42" s="13"/>
      <c r="D42" s="12"/>
      <c r="E42" s="12"/>
      <c r="F42" s="8"/>
      <c r="G42" s="8"/>
      <c r="H42" s="8"/>
      <c r="I42" s="8"/>
      <c r="J42" s="8"/>
      <c r="K42" s="8"/>
      <c r="L42" s="8"/>
      <c r="M42" s="8"/>
      <c r="N42" s="8"/>
      <c r="O42" s="8"/>
      <c r="P42" s="8"/>
      <c r="Q42" s="8"/>
      <c r="R42" s="8"/>
      <c r="S42" s="8"/>
      <c r="T42" s="8"/>
      <c r="U42" s="8"/>
      <c r="V42" s="8"/>
      <c r="W42" s="8"/>
      <c r="X42" s="8"/>
      <c r="Y42" s="8"/>
      <c r="Z42" s="8"/>
    </row>
    <row r="43" ht="12.0" customHeight="1">
      <c r="A43" s="11" t="s">
        <v>54</v>
      </c>
      <c r="B43" s="12">
        <v>2008.0</v>
      </c>
      <c r="C43" s="13"/>
      <c r="D43" s="12"/>
      <c r="E43" s="12"/>
      <c r="F43" s="8"/>
      <c r="G43" s="8"/>
      <c r="H43" s="8"/>
      <c r="I43" s="8"/>
      <c r="J43" s="8"/>
      <c r="K43" s="8"/>
      <c r="L43" s="8"/>
      <c r="M43" s="8"/>
      <c r="N43" s="8"/>
      <c r="O43" s="8"/>
      <c r="P43" s="8"/>
      <c r="Q43" s="8"/>
      <c r="R43" s="8"/>
      <c r="S43" s="8"/>
      <c r="T43" s="8"/>
      <c r="U43" s="8"/>
      <c r="V43" s="8"/>
      <c r="W43" s="8"/>
      <c r="X43" s="8"/>
      <c r="Y43" s="8"/>
      <c r="Z43" s="8"/>
    </row>
    <row r="44" ht="12.0" customHeight="1">
      <c r="A44" s="11" t="s">
        <v>55</v>
      </c>
      <c r="B44" s="12">
        <v>1991.0</v>
      </c>
      <c r="C44" s="13"/>
      <c r="D44" s="12"/>
      <c r="E44" s="12"/>
      <c r="F44" s="8"/>
      <c r="G44" s="8"/>
      <c r="H44" s="8"/>
      <c r="I44" s="8"/>
      <c r="J44" s="8"/>
      <c r="K44" s="8"/>
      <c r="L44" s="8"/>
      <c r="M44" s="8"/>
      <c r="N44" s="8"/>
      <c r="O44" s="8"/>
      <c r="P44" s="8"/>
      <c r="Q44" s="8"/>
      <c r="R44" s="8"/>
      <c r="S44" s="8"/>
      <c r="T44" s="8"/>
      <c r="U44" s="8"/>
      <c r="V44" s="8"/>
      <c r="W44" s="8"/>
      <c r="X44" s="8"/>
      <c r="Y44" s="8"/>
      <c r="Z44" s="8"/>
    </row>
    <row r="45" ht="12.0" customHeight="1">
      <c r="A45" s="8" t="s">
        <v>56</v>
      </c>
      <c r="B45" s="13"/>
      <c r="C45" s="13"/>
      <c r="D45" s="12"/>
      <c r="E45" s="12"/>
      <c r="F45" s="8"/>
      <c r="G45" s="8"/>
      <c r="H45" s="8"/>
      <c r="I45" s="8"/>
      <c r="J45" s="8"/>
      <c r="K45" s="8"/>
      <c r="L45" s="8"/>
      <c r="M45" s="8"/>
      <c r="N45" s="8"/>
      <c r="O45" s="8"/>
      <c r="P45" s="8"/>
      <c r="Q45" s="8"/>
      <c r="R45" s="8"/>
      <c r="S45" s="8"/>
      <c r="T45" s="8"/>
      <c r="U45" s="8"/>
      <c r="V45" s="8"/>
      <c r="W45" s="8"/>
      <c r="X45" s="8"/>
      <c r="Y45" s="8"/>
      <c r="Z45" s="8"/>
    </row>
    <row r="46" ht="12.0" customHeight="1">
      <c r="A46" s="11" t="s">
        <v>57</v>
      </c>
      <c r="B46" s="12">
        <v>2003.0</v>
      </c>
      <c r="C46" s="13"/>
      <c r="D46" s="12"/>
      <c r="E46" s="12"/>
      <c r="F46" s="8"/>
      <c r="G46" s="8"/>
      <c r="H46" s="8"/>
      <c r="I46" s="8"/>
      <c r="J46" s="8"/>
      <c r="K46" s="8"/>
      <c r="L46" s="8"/>
      <c r="M46" s="8"/>
      <c r="N46" s="8"/>
      <c r="O46" s="8"/>
      <c r="P46" s="8"/>
      <c r="Q46" s="8"/>
      <c r="R46" s="8"/>
      <c r="S46" s="8"/>
      <c r="T46" s="8"/>
      <c r="U46" s="8"/>
      <c r="V46" s="8"/>
      <c r="W46" s="8"/>
      <c r="X46" s="8"/>
      <c r="Y46" s="8"/>
      <c r="Z46" s="8"/>
    </row>
    <row r="47" ht="12.0" customHeight="1">
      <c r="A47" s="11" t="s">
        <v>58</v>
      </c>
      <c r="B47" s="12" t="s">
        <v>43</v>
      </c>
      <c r="C47" s="13"/>
      <c r="D47" s="12"/>
      <c r="E47" s="12"/>
      <c r="F47" s="8"/>
      <c r="G47" s="8"/>
      <c r="H47" s="8"/>
      <c r="I47" s="8"/>
      <c r="J47" s="8"/>
      <c r="K47" s="8"/>
      <c r="L47" s="8"/>
      <c r="M47" s="8"/>
      <c r="N47" s="8"/>
      <c r="O47" s="8"/>
      <c r="P47" s="8"/>
      <c r="Q47" s="8"/>
      <c r="R47" s="8"/>
      <c r="S47" s="8"/>
      <c r="T47" s="8"/>
      <c r="U47" s="8"/>
      <c r="V47" s="8"/>
      <c r="W47" s="8"/>
      <c r="X47" s="8"/>
      <c r="Y47" s="8"/>
      <c r="Z47" s="8"/>
    </row>
    <row r="48" ht="12.0" customHeight="1">
      <c r="A48" s="11" t="s">
        <v>59</v>
      </c>
      <c r="B48" s="12">
        <v>1980.0</v>
      </c>
      <c r="C48" s="13"/>
      <c r="D48" s="12"/>
      <c r="E48" s="12"/>
      <c r="F48" s="8"/>
      <c r="G48" s="8"/>
      <c r="H48" s="8"/>
      <c r="I48" s="8"/>
      <c r="J48" s="8"/>
      <c r="K48" s="8"/>
      <c r="L48" s="8"/>
      <c r="M48" s="8"/>
      <c r="N48" s="8"/>
      <c r="O48" s="8"/>
      <c r="P48" s="8"/>
      <c r="Q48" s="8"/>
      <c r="R48" s="8"/>
      <c r="S48" s="8"/>
      <c r="T48" s="8"/>
      <c r="U48" s="8"/>
      <c r="V48" s="8"/>
      <c r="W48" s="8"/>
      <c r="X48" s="8"/>
      <c r="Y48" s="8"/>
      <c r="Z48" s="8"/>
    </row>
    <row r="49" ht="12.0" customHeight="1">
      <c r="A49" s="11" t="s">
        <v>60</v>
      </c>
      <c r="B49" s="12">
        <v>1989.0</v>
      </c>
      <c r="C49" s="13"/>
      <c r="D49" s="12"/>
      <c r="E49" s="12"/>
      <c r="F49" s="8"/>
      <c r="G49" s="8"/>
      <c r="H49" s="8"/>
      <c r="I49" s="8"/>
      <c r="J49" s="8"/>
      <c r="K49" s="8"/>
      <c r="L49" s="8"/>
      <c r="M49" s="8"/>
      <c r="N49" s="8"/>
      <c r="O49" s="8"/>
      <c r="P49" s="8"/>
      <c r="Q49" s="8"/>
      <c r="R49" s="8"/>
      <c r="S49" s="8"/>
      <c r="T49" s="8"/>
      <c r="U49" s="8"/>
      <c r="V49" s="8"/>
      <c r="W49" s="8"/>
      <c r="X49" s="8"/>
      <c r="Y49" s="8"/>
      <c r="Z49" s="8"/>
    </row>
    <row r="50" ht="12.0" customHeight="1">
      <c r="A50" s="11" t="s">
        <v>61</v>
      </c>
      <c r="B50" s="12">
        <v>1983.0</v>
      </c>
      <c r="C50" s="13"/>
      <c r="D50" s="12"/>
      <c r="E50" s="12"/>
      <c r="F50" s="8"/>
      <c r="G50" s="8"/>
      <c r="H50" s="8"/>
      <c r="I50" s="8"/>
      <c r="J50" s="8"/>
      <c r="K50" s="8"/>
      <c r="L50" s="8"/>
      <c r="M50" s="8"/>
      <c r="N50" s="8"/>
      <c r="O50" s="8"/>
      <c r="P50" s="8"/>
      <c r="Q50" s="8"/>
      <c r="R50" s="8"/>
      <c r="S50" s="8"/>
      <c r="T50" s="8"/>
      <c r="U50" s="8"/>
      <c r="V50" s="8"/>
      <c r="W50" s="8"/>
      <c r="X50" s="8"/>
      <c r="Y50" s="8"/>
      <c r="Z50" s="8"/>
    </row>
    <row r="51" ht="12.0" customHeight="1">
      <c r="A51" s="11" t="s">
        <v>62</v>
      </c>
      <c r="B51" s="12">
        <v>1993.0</v>
      </c>
      <c r="C51" s="13"/>
      <c r="D51" s="12"/>
      <c r="E51" s="12"/>
      <c r="F51" s="8"/>
      <c r="G51" s="8"/>
      <c r="H51" s="8"/>
      <c r="I51" s="8"/>
      <c r="J51" s="8"/>
      <c r="K51" s="8"/>
      <c r="L51" s="8"/>
      <c r="M51" s="8"/>
      <c r="N51" s="8"/>
      <c r="O51" s="8"/>
      <c r="P51" s="8"/>
      <c r="Q51" s="8"/>
      <c r="R51" s="8"/>
      <c r="S51" s="8"/>
      <c r="T51" s="8"/>
      <c r="U51" s="8"/>
      <c r="V51" s="8"/>
      <c r="W51" s="8"/>
      <c r="X51" s="8"/>
      <c r="Y51" s="8"/>
      <c r="Z51" s="8"/>
    </row>
    <row r="52" ht="12.0" customHeight="1">
      <c r="A52" s="11" t="s">
        <v>63</v>
      </c>
      <c r="B52" s="12">
        <v>1992.0</v>
      </c>
      <c r="C52" s="13"/>
      <c r="D52" s="12"/>
      <c r="E52" s="12"/>
      <c r="F52" s="8"/>
      <c r="G52" s="8"/>
      <c r="H52" s="8"/>
      <c r="I52" s="8"/>
      <c r="J52" s="8"/>
      <c r="K52" s="8"/>
      <c r="L52" s="8"/>
      <c r="M52" s="8"/>
      <c r="N52" s="8"/>
      <c r="O52" s="8"/>
      <c r="P52" s="8"/>
      <c r="Q52" s="8"/>
      <c r="R52" s="8"/>
      <c r="S52" s="8"/>
      <c r="T52" s="8"/>
      <c r="U52" s="8"/>
      <c r="V52" s="8"/>
      <c r="W52" s="8"/>
      <c r="X52" s="8"/>
      <c r="Y52" s="8"/>
      <c r="Z52" s="8"/>
    </row>
    <row r="53" ht="12.0" customHeight="1">
      <c r="A53" s="8" t="s">
        <v>64</v>
      </c>
      <c r="B53" s="12"/>
      <c r="C53" s="13"/>
      <c r="D53" s="12"/>
      <c r="E53" s="12"/>
      <c r="F53" s="8"/>
      <c r="G53" s="8"/>
      <c r="H53" s="8"/>
      <c r="I53" s="8"/>
      <c r="J53" s="8"/>
      <c r="K53" s="8"/>
      <c r="L53" s="8"/>
      <c r="M53" s="8"/>
      <c r="N53" s="8"/>
      <c r="O53" s="8"/>
      <c r="P53" s="8"/>
      <c r="Q53" s="8"/>
      <c r="R53" s="8"/>
      <c r="S53" s="8"/>
      <c r="T53" s="8"/>
      <c r="U53" s="8"/>
      <c r="V53" s="8"/>
      <c r="W53" s="8"/>
      <c r="X53" s="8"/>
      <c r="Y53" s="8"/>
      <c r="Z53" s="8"/>
    </row>
    <row r="54" ht="12.0" customHeight="1">
      <c r="A54" s="8" t="s">
        <v>65</v>
      </c>
      <c r="B54" s="12"/>
      <c r="C54" s="13"/>
      <c r="D54" s="12"/>
      <c r="E54" s="12"/>
      <c r="F54" s="8"/>
      <c r="G54" s="8"/>
      <c r="H54" s="8"/>
      <c r="I54" s="8"/>
      <c r="J54" s="8"/>
      <c r="K54" s="8"/>
      <c r="L54" s="8"/>
      <c r="M54" s="8"/>
      <c r="N54" s="8"/>
      <c r="O54" s="8"/>
      <c r="P54" s="8"/>
      <c r="Q54" s="8"/>
      <c r="R54" s="8"/>
      <c r="S54" s="8"/>
      <c r="T54" s="8"/>
      <c r="U54" s="8"/>
      <c r="V54" s="8"/>
      <c r="W54" s="8"/>
      <c r="X54" s="8"/>
      <c r="Y54" s="8"/>
      <c r="Z54" s="8"/>
    </row>
    <row r="55" ht="12.0" customHeight="1">
      <c r="A55" s="11" t="s">
        <v>66</v>
      </c>
      <c r="B55" s="12">
        <v>1991.0</v>
      </c>
      <c r="C55" s="13"/>
      <c r="D55" s="12"/>
      <c r="E55" s="12"/>
      <c r="F55" s="8"/>
      <c r="G55" s="8"/>
      <c r="H55" s="8"/>
      <c r="I55" s="8"/>
      <c r="J55" s="8"/>
      <c r="K55" s="8"/>
      <c r="L55" s="8"/>
      <c r="M55" s="8"/>
      <c r="N55" s="8"/>
      <c r="O55" s="8"/>
      <c r="P55" s="8"/>
      <c r="Q55" s="8"/>
      <c r="R55" s="8"/>
      <c r="S55" s="8"/>
      <c r="T55" s="8"/>
      <c r="U55" s="8"/>
      <c r="V55" s="8"/>
      <c r="W55" s="8"/>
      <c r="X55" s="8"/>
      <c r="Y55" s="8"/>
      <c r="Z55" s="8"/>
    </row>
    <row r="56" ht="12.0" customHeight="1">
      <c r="A56" s="11" t="s">
        <v>67</v>
      </c>
      <c r="B56" s="12">
        <v>2008.0</v>
      </c>
      <c r="C56" s="13"/>
      <c r="D56" s="12"/>
      <c r="E56" s="12"/>
      <c r="F56" s="8"/>
      <c r="G56" s="8"/>
      <c r="H56" s="8"/>
      <c r="I56" s="8"/>
      <c r="J56" s="8"/>
      <c r="K56" s="8"/>
      <c r="L56" s="8"/>
      <c r="M56" s="8"/>
      <c r="N56" s="8"/>
      <c r="O56" s="8"/>
      <c r="P56" s="8"/>
      <c r="Q56" s="8"/>
      <c r="R56" s="8"/>
      <c r="S56" s="8"/>
      <c r="T56" s="8"/>
      <c r="U56" s="8"/>
      <c r="V56" s="8"/>
      <c r="W56" s="8"/>
      <c r="X56" s="8"/>
      <c r="Y56" s="8"/>
      <c r="Z56" s="8"/>
    </row>
    <row r="57" ht="12.0" customHeight="1">
      <c r="A57" s="11" t="s">
        <v>68</v>
      </c>
      <c r="B57" s="12"/>
      <c r="C57" s="13"/>
      <c r="D57" s="12"/>
      <c r="E57" s="12"/>
      <c r="F57" s="8"/>
      <c r="G57" s="8"/>
      <c r="H57" s="8"/>
      <c r="I57" s="8"/>
      <c r="J57" s="8"/>
      <c r="K57" s="8"/>
      <c r="L57" s="8"/>
      <c r="M57" s="8"/>
      <c r="N57" s="8"/>
      <c r="O57" s="8"/>
      <c r="P57" s="8"/>
      <c r="Q57" s="8"/>
      <c r="R57" s="8"/>
      <c r="S57" s="8"/>
      <c r="T57" s="8"/>
      <c r="U57" s="8"/>
      <c r="V57" s="8"/>
      <c r="W57" s="8"/>
      <c r="X57" s="8"/>
      <c r="Y57" s="8"/>
      <c r="Z57" s="8"/>
    </row>
    <row r="58" ht="12.0" customHeight="1">
      <c r="A58" s="11" t="s">
        <v>69</v>
      </c>
      <c r="B58" s="12"/>
      <c r="C58" s="13"/>
      <c r="D58" s="12"/>
      <c r="E58" s="12"/>
      <c r="F58" s="8"/>
      <c r="G58" s="8"/>
      <c r="H58" s="8"/>
      <c r="I58" s="8"/>
      <c r="J58" s="8"/>
      <c r="K58" s="8"/>
      <c r="L58" s="8"/>
      <c r="M58" s="8"/>
      <c r="N58" s="8"/>
      <c r="O58" s="8"/>
      <c r="P58" s="8"/>
      <c r="Q58" s="8"/>
      <c r="R58" s="8"/>
      <c r="S58" s="8"/>
      <c r="T58" s="8"/>
      <c r="U58" s="8"/>
      <c r="V58" s="8"/>
      <c r="W58" s="8"/>
      <c r="X58" s="8"/>
      <c r="Y58" s="8"/>
      <c r="Z58" s="8"/>
    </row>
    <row r="59" ht="12.0" customHeight="1">
      <c r="A59" s="11" t="s">
        <v>70</v>
      </c>
      <c r="B59" s="12">
        <v>1991.0</v>
      </c>
      <c r="C59" s="13"/>
      <c r="D59" s="12"/>
      <c r="E59" s="12"/>
      <c r="F59" s="8"/>
      <c r="G59" s="8"/>
      <c r="H59" s="8"/>
      <c r="I59" s="8"/>
      <c r="J59" s="8"/>
      <c r="K59" s="8"/>
      <c r="L59" s="8"/>
      <c r="M59" s="8"/>
      <c r="N59" s="8"/>
      <c r="O59" s="8"/>
      <c r="P59" s="8"/>
      <c r="Q59" s="8"/>
      <c r="R59" s="8"/>
      <c r="S59" s="8"/>
      <c r="T59" s="8"/>
      <c r="U59" s="8"/>
      <c r="V59" s="8"/>
      <c r="W59" s="8"/>
      <c r="X59" s="8"/>
      <c r="Y59" s="8"/>
      <c r="Z59" s="8"/>
    </row>
    <row r="60" ht="12.0" customHeight="1">
      <c r="A60" s="11" t="s">
        <v>71</v>
      </c>
      <c r="B60" s="12">
        <v>2008.0</v>
      </c>
      <c r="C60" s="13"/>
      <c r="D60" s="12"/>
      <c r="E60" s="12"/>
      <c r="F60" s="8"/>
      <c r="G60" s="8"/>
      <c r="H60" s="8"/>
      <c r="I60" s="8"/>
      <c r="J60" s="8"/>
      <c r="K60" s="8"/>
      <c r="L60" s="8"/>
      <c r="M60" s="8"/>
      <c r="N60" s="8"/>
      <c r="O60" s="8"/>
      <c r="P60" s="8"/>
      <c r="Q60" s="8"/>
      <c r="R60" s="8"/>
      <c r="S60" s="8"/>
      <c r="T60" s="8"/>
      <c r="U60" s="8"/>
      <c r="V60" s="8"/>
      <c r="W60" s="8"/>
      <c r="X60" s="8"/>
      <c r="Y60" s="8"/>
      <c r="Z60" s="8"/>
    </row>
    <row r="61" ht="12.0" customHeight="1">
      <c r="A61" s="11" t="s">
        <v>72</v>
      </c>
      <c r="B61" s="12">
        <v>1982.0</v>
      </c>
      <c r="C61" s="13"/>
      <c r="D61" s="12"/>
      <c r="E61" s="12"/>
      <c r="F61" s="8"/>
      <c r="G61" s="8"/>
      <c r="H61" s="8"/>
      <c r="I61" s="8"/>
      <c r="J61" s="8"/>
      <c r="K61" s="8"/>
      <c r="L61" s="8"/>
      <c r="M61" s="8"/>
      <c r="N61" s="8"/>
      <c r="O61" s="8"/>
      <c r="P61" s="8"/>
      <c r="Q61" s="8"/>
      <c r="R61" s="8"/>
      <c r="S61" s="8"/>
      <c r="T61" s="8"/>
      <c r="U61" s="8"/>
      <c r="V61" s="8"/>
      <c r="W61" s="8"/>
      <c r="X61" s="8"/>
      <c r="Y61" s="8"/>
      <c r="Z61" s="8"/>
    </row>
    <row r="62" ht="12.0" customHeight="1">
      <c r="A62" s="11" t="s">
        <v>73</v>
      </c>
      <c r="B62" s="12">
        <v>2008.0</v>
      </c>
      <c r="C62" s="13"/>
      <c r="D62" s="12"/>
      <c r="E62" s="12"/>
      <c r="F62" s="8"/>
      <c r="G62" s="8"/>
      <c r="H62" s="8"/>
      <c r="I62" s="8"/>
      <c r="J62" s="8"/>
      <c r="K62" s="8"/>
      <c r="L62" s="8"/>
      <c r="M62" s="8"/>
      <c r="N62" s="8"/>
      <c r="O62" s="8"/>
      <c r="P62" s="8"/>
      <c r="Q62" s="8"/>
      <c r="R62" s="8"/>
      <c r="S62" s="8"/>
      <c r="T62" s="8"/>
      <c r="U62" s="8"/>
      <c r="V62" s="8"/>
      <c r="W62" s="8"/>
      <c r="X62" s="8"/>
      <c r="Y62" s="8"/>
      <c r="Z62" s="8"/>
    </row>
    <row r="63" ht="12.0" customHeight="1">
      <c r="A63" s="8" t="s">
        <v>74</v>
      </c>
      <c r="B63" s="12"/>
      <c r="C63" s="13"/>
      <c r="D63" s="12"/>
      <c r="E63" s="12"/>
      <c r="F63" s="8"/>
      <c r="G63" s="8"/>
      <c r="H63" s="8"/>
      <c r="I63" s="8"/>
      <c r="J63" s="8"/>
      <c r="K63" s="8"/>
      <c r="L63" s="8"/>
      <c r="M63" s="8"/>
      <c r="N63" s="8"/>
      <c r="O63" s="8"/>
      <c r="P63" s="8"/>
      <c r="Q63" s="8"/>
      <c r="R63" s="8"/>
      <c r="S63" s="8"/>
      <c r="T63" s="8"/>
      <c r="U63" s="8"/>
      <c r="V63" s="8"/>
      <c r="W63" s="8"/>
      <c r="X63" s="8"/>
      <c r="Y63" s="8"/>
      <c r="Z63" s="8"/>
    </row>
    <row r="64" ht="12.0" customHeight="1">
      <c r="A64" s="11" t="s">
        <v>75</v>
      </c>
      <c r="B64" s="12"/>
      <c r="C64" s="13"/>
      <c r="D64" s="12"/>
      <c r="E64" s="12"/>
      <c r="F64" s="8"/>
      <c r="G64" s="8"/>
      <c r="H64" s="8"/>
      <c r="I64" s="8"/>
      <c r="J64" s="8"/>
      <c r="K64" s="8"/>
      <c r="L64" s="8"/>
      <c r="M64" s="8"/>
      <c r="N64" s="8"/>
      <c r="O64" s="8"/>
      <c r="P64" s="8"/>
      <c r="Q64" s="8"/>
      <c r="R64" s="8"/>
      <c r="S64" s="8"/>
      <c r="T64" s="8"/>
      <c r="U64" s="8"/>
      <c r="V64" s="8"/>
      <c r="W64" s="8"/>
      <c r="X64" s="8"/>
      <c r="Y64" s="8"/>
      <c r="Z64" s="8"/>
    </row>
    <row r="65" ht="12.0" customHeight="1">
      <c r="A65" s="11" t="s">
        <v>76</v>
      </c>
      <c r="B65" s="12" t="s">
        <v>77</v>
      </c>
      <c r="C65" s="13"/>
      <c r="D65" s="12"/>
      <c r="E65" s="12"/>
      <c r="F65" s="8"/>
      <c r="G65" s="8"/>
      <c r="H65" s="8"/>
      <c r="I65" s="8"/>
      <c r="J65" s="8"/>
      <c r="K65" s="8"/>
      <c r="L65" s="8"/>
      <c r="M65" s="8"/>
      <c r="N65" s="8"/>
      <c r="O65" s="8"/>
      <c r="P65" s="8"/>
      <c r="Q65" s="8"/>
      <c r="R65" s="8"/>
      <c r="S65" s="8"/>
      <c r="T65" s="8"/>
      <c r="U65" s="8"/>
      <c r="V65" s="8"/>
      <c r="W65" s="8"/>
      <c r="X65" s="8"/>
      <c r="Y65" s="8"/>
      <c r="Z65" s="8"/>
    </row>
    <row r="66" ht="12.0" customHeight="1">
      <c r="A66" s="11" t="s">
        <v>78</v>
      </c>
      <c r="B66" s="12" t="s">
        <v>79</v>
      </c>
      <c r="C66" s="13"/>
      <c r="D66" s="12"/>
      <c r="E66" s="12"/>
      <c r="F66" s="8"/>
      <c r="G66" s="8"/>
      <c r="H66" s="8"/>
      <c r="I66" s="8"/>
      <c r="J66" s="8"/>
      <c r="K66" s="8"/>
      <c r="L66" s="8"/>
      <c r="M66" s="8"/>
      <c r="N66" s="8"/>
      <c r="O66" s="8"/>
      <c r="P66" s="8"/>
      <c r="Q66" s="8"/>
      <c r="R66" s="8"/>
      <c r="S66" s="8"/>
      <c r="T66" s="8"/>
      <c r="U66" s="8"/>
      <c r="V66" s="8"/>
      <c r="W66" s="8"/>
      <c r="X66" s="8"/>
      <c r="Y66" s="8"/>
      <c r="Z66" s="8"/>
    </row>
    <row r="67" ht="12.0" customHeight="1">
      <c r="A67" s="8" t="s">
        <v>80</v>
      </c>
      <c r="B67" s="12">
        <v>1993.0</v>
      </c>
      <c r="C67" s="13"/>
      <c r="D67" s="12"/>
      <c r="E67" s="12"/>
      <c r="F67" s="8"/>
      <c r="G67" s="8"/>
      <c r="H67" s="8"/>
      <c r="I67" s="8"/>
      <c r="J67" s="8"/>
      <c r="K67" s="8"/>
      <c r="L67" s="8"/>
      <c r="M67" s="8"/>
      <c r="N67" s="8"/>
      <c r="O67" s="8"/>
      <c r="P67" s="8"/>
      <c r="Q67" s="8"/>
      <c r="R67" s="8"/>
      <c r="S67" s="8"/>
      <c r="T67" s="8"/>
      <c r="U67" s="8"/>
      <c r="V67" s="8"/>
      <c r="W67" s="8"/>
      <c r="X67" s="8"/>
      <c r="Y67" s="8"/>
      <c r="Z67" s="8"/>
    </row>
    <row r="68" ht="12.0" customHeight="1">
      <c r="A68" s="8" t="s">
        <v>81</v>
      </c>
      <c r="B68" s="13">
        <v>1994.0</v>
      </c>
      <c r="C68" s="13"/>
      <c r="D68" s="12"/>
      <c r="E68" s="12"/>
      <c r="F68" s="8"/>
      <c r="G68" s="8"/>
      <c r="H68" s="8"/>
      <c r="I68" s="8"/>
      <c r="J68" s="8"/>
      <c r="K68" s="8"/>
      <c r="L68" s="8"/>
      <c r="M68" s="8"/>
      <c r="N68" s="8"/>
      <c r="O68" s="8"/>
      <c r="P68" s="8"/>
      <c r="Q68" s="8"/>
      <c r="R68" s="8"/>
      <c r="S68" s="8"/>
      <c r="T68" s="8"/>
      <c r="U68" s="8"/>
      <c r="V68" s="8"/>
      <c r="W68" s="8"/>
      <c r="X68" s="8"/>
      <c r="Y68" s="8"/>
      <c r="Z68" s="8"/>
    </row>
    <row r="69" ht="12.0" customHeight="1">
      <c r="A69" s="8" t="s">
        <v>82</v>
      </c>
      <c r="B69" s="13"/>
      <c r="C69" s="13"/>
      <c r="D69" s="12"/>
      <c r="E69" s="12"/>
      <c r="F69" s="8"/>
      <c r="G69" s="8"/>
      <c r="H69" s="8"/>
      <c r="I69" s="8"/>
      <c r="J69" s="8"/>
      <c r="K69" s="8"/>
      <c r="L69" s="8"/>
      <c r="M69" s="8"/>
      <c r="N69" s="8"/>
      <c r="O69" s="8"/>
      <c r="P69" s="8"/>
      <c r="Q69" s="8"/>
      <c r="R69" s="8"/>
      <c r="S69" s="8"/>
      <c r="T69" s="8"/>
      <c r="U69" s="8"/>
      <c r="V69" s="8"/>
      <c r="W69" s="8"/>
      <c r="X69" s="8"/>
      <c r="Y69" s="8"/>
      <c r="Z69" s="8"/>
    </row>
    <row r="70" ht="12.0" customHeight="1">
      <c r="A70" s="11" t="s">
        <v>83</v>
      </c>
      <c r="B70" s="12"/>
      <c r="C70" s="13"/>
      <c r="D70" s="12"/>
      <c r="E70" s="12"/>
      <c r="F70" s="8"/>
      <c r="G70" s="8"/>
      <c r="H70" s="8"/>
      <c r="I70" s="8"/>
      <c r="J70" s="8"/>
      <c r="K70" s="8"/>
      <c r="L70" s="8"/>
      <c r="M70" s="8"/>
      <c r="N70" s="8"/>
      <c r="O70" s="8"/>
      <c r="P70" s="8"/>
      <c r="Q70" s="8"/>
      <c r="R70" s="8"/>
      <c r="S70" s="8"/>
      <c r="T70" s="8"/>
      <c r="U70" s="8"/>
      <c r="V70" s="8"/>
      <c r="W70" s="8"/>
      <c r="X70" s="8"/>
      <c r="Y70" s="8"/>
      <c r="Z70" s="8"/>
    </row>
    <row r="71" ht="12.0" customHeight="1">
      <c r="A71" s="11" t="s">
        <v>84</v>
      </c>
      <c r="B71" s="12" t="s">
        <v>85</v>
      </c>
      <c r="C71" s="13"/>
      <c r="D71" s="12"/>
      <c r="E71" s="12"/>
      <c r="F71" s="8"/>
      <c r="G71" s="8"/>
      <c r="H71" s="8"/>
      <c r="I71" s="8"/>
      <c r="J71" s="8"/>
      <c r="K71" s="8"/>
      <c r="L71" s="8"/>
      <c r="M71" s="8"/>
      <c r="N71" s="8"/>
      <c r="O71" s="8"/>
      <c r="P71" s="8"/>
      <c r="Q71" s="8"/>
      <c r="R71" s="8"/>
      <c r="S71" s="8"/>
      <c r="T71" s="8"/>
      <c r="U71" s="8"/>
      <c r="V71" s="8"/>
      <c r="W71" s="8"/>
      <c r="X71" s="8"/>
      <c r="Y71" s="8"/>
      <c r="Z71" s="8"/>
    </row>
    <row r="72" ht="12.0" customHeight="1">
      <c r="A72" s="11" t="s">
        <v>86</v>
      </c>
      <c r="B72" s="12">
        <v>2008.0</v>
      </c>
      <c r="C72" s="13"/>
      <c r="D72" s="12"/>
      <c r="E72" s="12"/>
      <c r="F72" s="8"/>
      <c r="G72" s="8"/>
      <c r="H72" s="8"/>
      <c r="I72" s="8"/>
      <c r="J72" s="8"/>
      <c r="K72" s="8"/>
      <c r="L72" s="8"/>
      <c r="M72" s="8"/>
      <c r="N72" s="8"/>
      <c r="O72" s="8"/>
      <c r="P72" s="8"/>
      <c r="Q72" s="8"/>
      <c r="R72" s="8"/>
      <c r="S72" s="8"/>
      <c r="T72" s="8"/>
      <c r="U72" s="8"/>
      <c r="V72" s="8"/>
      <c r="W72" s="8"/>
      <c r="X72" s="8"/>
      <c r="Y72" s="8"/>
      <c r="Z72" s="8"/>
    </row>
    <row r="73" ht="12.0" customHeight="1">
      <c r="A73" s="11" t="s">
        <v>87</v>
      </c>
      <c r="B73" s="12">
        <v>1993.0</v>
      </c>
      <c r="C73" s="13"/>
      <c r="D73" s="12"/>
      <c r="E73" s="12"/>
      <c r="F73" s="8"/>
      <c r="G73" s="8"/>
      <c r="H73" s="8"/>
      <c r="I73" s="8"/>
      <c r="J73" s="8"/>
      <c r="K73" s="8"/>
      <c r="L73" s="8"/>
      <c r="M73" s="8"/>
      <c r="N73" s="8"/>
      <c r="O73" s="8"/>
      <c r="P73" s="8"/>
      <c r="Q73" s="8"/>
      <c r="R73" s="8"/>
      <c r="S73" s="8"/>
      <c r="T73" s="8"/>
      <c r="U73" s="8"/>
      <c r="V73" s="8"/>
      <c r="W73" s="8"/>
      <c r="X73" s="8"/>
      <c r="Y73" s="8"/>
      <c r="Z73" s="8"/>
    </row>
    <row r="74" ht="12.0" customHeight="1">
      <c r="A74" s="11" t="s">
        <v>88</v>
      </c>
      <c r="B74" s="12">
        <v>1997.0</v>
      </c>
      <c r="C74" s="13"/>
      <c r="D74" s="12"/>
      <c r="E74" s="12"/>
      <c r="F74" s="8"/>
      <c r="G74" s="8"/>
      <c r="H74" s="8"/>
      <c r="I74" s="8"/>
      <c r="J74" s="8"/>
      <c r="K74" s="8"/>
      <c r="L74" s="8"/>
      <c r="M74" s="8"/>
      <c r="N74" s="8"/>
      <c r="O74" s="8"/>
      <c r="P74" s="8"/>
      <c r="Q74" s="8"/>
      <c r="R74" s="8"/>
      <c r="S74" s="8"/>
      <c r="T74" s="8"/>
      <c r="U74" s="8"/>
      <c r="V74" s="8"/>
      <c r="W74" s="8"/>
      <c r="X74" s="8"/>
      <c r="Y74" s="8"/>
      <c r="Z74" s="8"/>
    </row>
    <row r="75" ht="12.0" customHeight="1">
      <c r="A75" s="11" t="s">
        <v>89</v>
      </c>
      <c r="B75" s="12"/>
      <c r="C75" s="13"/>
      <c r="D75" s="12"/>
      <c r="E75" s="12"/>
      <c r="F75" s="8"/>
      <c r="G75" s="8"/>
      <c r="H75" s="8"/>
      <c r="I75" s="8"/>
      <c r="J75" s="8"/>
      <c r="K75" s="8"/>
      <c r="L75" s="8"/>
      <c r="M75" s="8"/>
      <c r="N75" s="8"/>
      <c r="O75" s="8"/>
      <c r="P75" s="8"/>
      <c r="Q75" s="8"/>
      <c r="R75" s="8"/>
      <c r="S75" s="8"/>
      <c r="T75" s="8"/>
      <c r="U75" s="8"/>
      <c r="V75" s="8"/>
      <c r="W75" s="8"/>
      <c r="X75" s="8"/>
      <c r="Y75" s="8"/>
      <c r="Z75" s="8"/>
    </row>
    <row r="76" ht="12.0" customHeight="1">
      <c r="A76" s="11" t="s">
        <v>90</v>
      </c>
      <c r="B76" s="12">
        <v>2008.0</v>
      </c>
      <c r="C76" s="13"/>
      <c r="D76" s="12"/>
      <c r="E76" s="12"/>
      <c r="F76" s="8"/>
      <c r="G76" s="8"/>
      <c r="H76" s="8"/>
      <c r="I76" s="8"/>
      <c r="J76" s="8"/>
      <c r="K76" s="8"/>
      <c r="L76" s="8"/>
      <c r="M76" s="8"/>
      <c r="N76" s="8"/>
      <c r="O76" s="8"/>
      <c r="P76" s="8"/>
      <c r="Q76" s="8"/>
      <c r="R76" s="8"/>
      <c r="S76" s="8"/>
      <c r="T76" s="8"/>
      <c r="U76" s="8"/>
      <c r="V76" s="8"/>
      <c r="W76" s="8"/>
      <c r="X76" s="8"/>
      <c r="Y76" s="8"/>
      <c r="Z76" s="8"/>
    </row>
    <row r="77" ht="12.0" customHeight="1">
      <c r="A77" s="11" t="s">
        <v>91</v>
      </c>
      <c r="B77" s="12">
        <v>1983.0</v>
      </c>
      <c r="C77" s="13"/>
      <c r="D77" s="12"/>
      <c r="E77" s="12"/>
      <c r="F77" s="8"/>
      <c r="G77" s="8"/>
      <c r="H77" s="8"/>
      <c r="I77" s="8"/>
      <c r="J77" s="8"/>
      <c r="K77" s="8"/>
      <c r="L77" s="8"/>
      <c r="M77" s="8"/>
      <c r="N77" s="8"/>
      <c r="O77" s="8"/>
      <c r="P77" s="8"/>
      <c r="Q77" s="8"/>
      <c r="R77" s="8"/>
      <c r="S77" s="8"/>
      <c r="T77" s="8"/>
      <c r="U77" s="8"/>
      <c r="V77" s="8"/>
      <c r="W77" s="8"/>
      <c r="X77" s="8"/>
      <c r="Y77" s="8"/>
      <c r="Z77" s="8"/>
    </row>
    <row r="78" ht="12.0" customHeight="1">
      <c r="A78" s="11" t="s">
        <v>92</v>
      </c>
      <c r="B78" s="12">
        <v>2008.0</v>
      </c>
      <c r="C78" s="13"/>
      <c r="D78" s="12"/>
      <c r="E78" s="12"/>
      <c r="F78" s="8"/>
      <c r="G78" s="8"/>
      <c r="H78" s="8"/>
      <c r="I78" s="8"/>
      <c r="J78" s="8"/>
      <c r="K78" s="8"/>
      <c r="L78" s="8"/>
      <c r="M78" s="8"/>
      <c r="N78" s="8"/>
      <c r="O78" s="8"/>
      <c r="P78" s="8"/>
      <c r="Q78" s="8"/>
      <c r="R78" s="8"/>
      <c r="S78" s="8"/>
      <c r="T78" s="8"/>
      <c r="U78" s="8"/>
      <c r="V78" s="8"/>
      <c r="W78" s="8"/>
      <c r="X78" s="8"/>
      <c r="Y78" s="8"/>
      <c r="Z78" s="8"/>
    </row>
    <row r="79" ht="12.0" customHeight="1">
      <c r="A79" s="11" t="s">
        <v>93</v>
      </c>
      <c r="B79" s="12">
        <v>1996.0</v>
      </c>
      <c r="C79" s="13"/>
      <c r="D79" s="12"/>
      <c r="E79" s="12"/>
      <c r="F79" s="8"/>
      <c r="G79" s="8"/>
      <c r="H79" s="8"/>
      <c r="I79" s="8"/>
      <c r="J79" s="8"/>
      <c r="K79" s="8"/>
      <c r="L79" s="8"/>
      <c r="M79" s="8"/>
      <c r="N79" s="8"/>
      <c r="O79" s="8"/>
      <c r="P79" s="8"/>
      <c r="Q79" s="8"/>
      <c r="R79" s="8"/>
      <c r="S79" s="8"/>
      <c r="T79" s="8"/>
      <c r="U79" s="8"/>
      <c r="V79" s="8"/>
      <c r="W79" s="8"/>
      <c r="X79" s="8"/>
      <c r="Y79" s="8"/>
      <c r="Z79" s="8"/>
    </row>
    <row r="80" ht="12.0" customHeight="1">
      <c r="A80" s="11" t="s">
        <v>94</v>
      </c>
      <c r="B80" s="12">
        <v>1997.0</v>
      </c>
      <c r="C80" s="13"/>
      <c r="D80" s="12"/>
      <c r="E80" s="12"/>
      <c r="F80" s="8"/>
      <c r="G80" s="8"/>
      <c r="H80" s="8"/>
      <c r="I80" s="8"/>
      <c r="J80" s="8"/>
      <c r="K80" s="8"/>
      <c r="L80" s="8"/>
      <c r="M80" s="8"/>
      <c r="N80" s="8"/>
      <c r="O80" s="8"/>
      <c r="P80" s="8"/>
      <c r="Q80" s="8"/>
      <c r="R80" s="8"/>
      <c r="S80" s="8"/>
      <c r="T80" s="8"/>
      <c r="U80" s="8"/>
      <c r="V80" s="8"/>
      <c r="W80" s="8"/>
      <c r="X80" s="8"/>
      <c r="Y80" s="8"/>
      <c r="Z80" s="8"/>
    </row>
    <row r="81" ht="12.0" customHeight="1">
      <c r="A81" s="11" t="s">
        <v>95</v>
      </c>
      <c r="B81" s="12">
        <v>1989.0</v>
      </c>
      <c r="C81" s="13"/>
      <c r="D81" s="12"/>
      <c r="E81" s="12"/>
      <c r="F81" s="8"/>
      <c r="G81" s="8"/>
      <c r="H81" s="8"/>
      <c r="I81" s="8"/>
      <c r="J81" s="8"/>
      <c r="K81" s="8"/>
      <c r="L81" s="8"/>
      <c r="M81" s="8"/>
      <c r="N81" s="8"/>
      <c r="O81" s="8"/>
      <c r="P81" s="8"/>
      <c r="Q81" s="8"/>
      <c r="R81" s="8"/>
      <c r="S81" s="8"/>
      <c r="T81" s="8"/>
      <c r="U81" s="8"/>
      <c r="V81" s="8"/>
      <c r="W81" s="8"/>
      <c r="X81" s="8"/>
      <c r="Y81" s="8"/>
      <c r="Z81" s="8"/>
    </row>
    <row r="82" ht="12.0" customHeight="1">
      <c r="A82" s="8" t="s">
        <v>96</v>
      </c>
      <c r="B82" s="13">
        <v>2008.0</v>
      </c>
      <c r="C82" s="13"/>
      <c r="D82" s="12"/>
      <c r="E82" s="12"/>
      <c r="F82" s="8"/>
      <c r="G82" s="8"/>
      <c r="H82" s="8"/>
      <c r="I82" s="8"/>
      <c r="J82" s="8"/>
      <c r="K82" s="8"/>
      <c r="L82" s="8"/>
      <c r="M82" s="8"/>
      <c r="N82" s="8"/>
      <c r="O82" s="8"/>
      <c r="P82" s="8"/>
      <c r="Q82" s="8"/>
      <c r="R82" s="8"/>
      <c r="S82" s="8"/>
      <c r="T82" s="8"/>
      <c r="U82" s="8"/>
      <c r="V82" s="8"/>
      <c r="W82" s="8"/>
      <c r="X82" s="8"/>
      <c r="Y82" s="8"/>
      <c r="Z82" s="8"/>
    </row>
    <row r="83" ht="12.0" customHeight="1">
      <c r="A83" s="11" t="s">
        <v>97</v>
      </c>
      <c r="B83" s="12" t="s">
        <v>98</v>
      </c>
      <c r="C83" s="13"/>
      <c r="D83" s="12"/>
      <c r="E83" s="12"/>
      <c r="F83" s="8"/>
      <c r="G83" s="8"/>
      <c r="H83" s="8"/>
      <c r="I83" s="8"/>
      <c r="J83" s="8"/>
      <c r="K83" s="8"/>
      <c r="L83" s="8"/>
      <c r="M83" s="8"/>
      <c r="N83" s="8"/>
      <c r="O83" s="8"/>
      <c r="P83" s="8"/>
      <c r="Q83" s="8"/>
      <c r="R83" s="8"/>
      <c r="S83" s="8"/>
      <c r="T83" s="8"/>
      <c r="U83" s="8"/>
      <c r="V83" s="8"/>
      <c r="W83" s="8"/>
      <c r="X83" s="8"/>
      <c r="Y83" s="8"/>
      <c r="Z83" s="8"/>
    </row>
    <row r="84" ht="12.0" customHeight="1">
      <c r="A84" s="11" t="s">
        <v>99</v>
      </c>
      <c r="B84" s="12">
        <v>1997.0</v>
      </c>
      <c r="C84" s="13"/>
      <c r="D84" s="12"/>
      <c r="E84" s="12"/>
      <c r="F84" s="8"/>
      <c r="G84" s="8"/>
      <c r="H84" s="8"/>
      <c r="I84" s="8"/>
      <c r="J84" s="8"/>
      <c r="K84" s="8"/>
      <c r="L84" s="8"/>
      <c r="M84" s="8"/>
      <c r="N84" s="8"/>
      <c r="O84" s="8"/>
      <c r="P84" s="8"/>
      <c r="Q84" s="8"/>
      <c r="R84" s="8"/>
      <c r="S84" s="8"/>
      <c r="T84" s="8"/>
      <c r="U84" s="8"/>
      <c r="V84" s="8"/>
      <c r="W84" s="8"/>
      <c r="X84" s="8"/>
      <c r="Y84" s="8"/>
      <c r="Z84" s="8"/>
    </row>
    <row r="85" ht="12.0" customHeight="1">
      <c r="A85" s="11" t="s">
        <v>100</v>
      </c>
      <c r="B85" s="12">
        <v>1982.0</v>
      </c>
      <c r="C85" s="13"/>
      <c r="D85" s="12"/>
      <c r="E85" s="12"/>
      <c r="F85" s="8"/>
      <c r="G85" s="8"/>
      <c r="H85" s="8"/>
      <c r="I85" s="8"/>
      <c r="J85" s="8"/>
      <c r="K85" s="8"/>
      <c r="L85" s="8"/>
      <c r="M85" s="8"/>
      <c r="N85" s="8"/>
      <c r="O85" s="8"/>
      <c r="P85" s="8"/>
      <c r="Q85" s="8"/>
      <c r="R85" s="8"/>
      <c r="S85" s="8"/>
      <c r="T85" s="8"/>
      <c r="U85" s="8"/>
      <c r="V85" s="8"/>
      <c r="W85" s="8"/>
      <c r="X85" s="8"/>
      <c r="Y85" s="8"/>
      <c r="Z85" s="8"/>
    </row>
    <row r="86" ht="12.0" customHeight="1">
      <c r="A86" s="8" t="s">
        <v>101</v>
      </c>
      <c r="B86" s="12">
        <v>1995.0</v>
      </c>
      <c r="C86" s="13"/>
      <c r="D86" s="12"/>
      <c r="E86" s="12"/>
      <c r="F86" s="8"/>
      <c r="G86" s="8"/>
      <c r="H86" s="8"/>
      <c r="I86" s="8"/>
      <c r="J86" s="8"/>
      <c r="K86" s="8"/>
      <c r="L86" s="8"/>
      <c r="M86" s="8"/>
      <c r="N86" s="8"/>
      <c r="O86" s="8"/>
      <c r="P86" s="8"/>
      <c r="Q86" s="8"/>
      <c r="R86" s="8"/>
      <c r="S86" s="8"/>
      <c r="T86" s="8"/>
      <c r="U86" s="8"/>
      <c r="V86" s="8"/>
      <c r="W86" s="8"/>
      <c r="X86" s="8"/>
      <c r="Y86" s="8"/>
      <c r="Z86" s="8"/>
    </row>
    <row r="87" ht="12.75" customHeight="1">
      <c r="A87" s="11" t="s">
        <v>102</v>
      </c>
      <c r="B87" s="12"/>
      <c r="C87" s="13"/>
      <c r="D87" s="12"/>
      <c r="E87" s="12"/>
      <c r="F87" s="8"/>
      <c r="G87" s="8"/>
      <c r="H87" s="8"/>
      <c r="I87" s="8"/>
      <c r="J87" s="8"/>
      <c r="K87" s="8"/>
      <c r="L87" s="8"/>
      <c r="M87" s="8"/>
      <c r="N87" s="8"/>
      <c r="O87" s="8"/>
      <c r="P87" s="8"/>
      <c r="Q87" s="8"/>
      <c r="R87" s="8"/>
      <c r="S87" s="8"/>
      <c r="T87" s="8"/>
      <c r="U87" s="8"/>
      <c r="V87" s="8"/>
      <c r="W87" s="8"/>
      <c r="X87" s="8"/>
      <c r="Y87" s="8"/>
      <c r="Z87" s="8"/>
    </row>
    <row r="88" ht="12.0" customHeight="1">
      <c r="A88" s="11" t="s">
        <v>103</v>
      </c>
      <c r="B88" s="12" t="s">
        <v>104</v>
      </c>
      <c r="C88" s="13"/>
      <c r="D88" s="12"/>
      <c r="E88" s="12"/>
      <c r="F88" s="8"/>
      <c r="G88" s="8"/>
      <c r="H88" s="8"/>
      <c r="I88" s="8"/>
      <c r="J88" s="8"/>
      <c r="K88" s="8"/>
      <c r="L88" s="8"/>
      <c r="M88" s="8"/>
      <c r="N88" s="8"/>
      <c r="O88" s="8"/>
      <c r="P88" s="8"/>
      <c r="Q88" s="8"/>
      <c r="R88" s="8"/>
      <c r="S88" s="8"/>
      <c r="T88" s="8"/>
      <c r="U88" s="8"/>
      <c r="V88" s="8"/>
      <c r="W88" s="8"/>
      <c r="X88" s="8"/>
      <c r="Y88" s="8"/>
      <c r="Z88" s="8"/>
    </row>
    <row r="89" ht="12.0" customHeight="1">
      <c r="A89" s="11" t="s">
        <v>105</v>
      </c>
      <c r="B89" s="12">
        <v>1990.0</v>
      </c>
      <c r="C89" s="13"/>
      <c r="D89" s="12"/>
      <c r="E89" s="12"/>
      <c r="F89" s="8"/>
      <c r="G89" s="8"/>
      <c r="H89" s="8"/>
      <c r="I89" s="8"/>
      <c r="J89" s="8"/>
      <c r="K89" s="8"/>
      <c r="L89" s="8"/>
      <c r="M89" s="8"/>
      <c r="N89" s="8"/>
      <c r="O89" s="8"/>
      <c r="P89" s="8"/>
      <c r="Q89" s="8"/>
      <c r="R89" s="8"/>
      <c r="S89" s="8"/>
      <c r="T89" s="8"/>
      <c r="U89" s="8"/>
      <c r="V89" s="8"/>
      <c r="W89" s="8"/>
      <c r="X89" s="8"/>
      <c r="Y89" s="8"/>
      <c r="Z89" s="8"/>
    </row>
    <row r="90" ht="12.0" customHeight="1">
      <c r="A90" s="11" t="s">
        <v>106</v>
      </c>
      <c r="B90" s="12"/>
      <c r="C90" s="13"/>
      <c r="D90" s="12"/>
      <c r="E90" s="12"/>
      <c r="F90" s="8"/>
      <c r="G90" s="8"/>
      <c r="H90" s="8"/>
      <c r="I90" s="8"/>
      <c r="J90" s="8"/>
      <c r="K90" s="8"/>
      <c r="L90" s="8"/>
      <c r="M90" s="8"/>
      <c r="N90" s="8"/>
      <c r="O90" s="8"/>
      <c r="P90" s="8"/>
      <c r="Q90" s="8"/>
      <c r="R90" s="8"/>
      <c r="S90" s="8"/>
      <c r="T90" s="8"/>
      <c r="U90" s="8"/>
      <c r="V90" s="8"/>
      <c r="W90" s="8"/>
      <c r="X90" s="8"/>
      <c r="Y90" s="8"/>
      <c r="Z90" s="8"/>
    </row>
    <row r="91" ht="12.0" customHeight="1">
      <c r="A91" s="11" t="s">
        <v>107</v>
      </c>
      <c r="B91" s="12">
        <v>1991.0</v>
      </c>
      <c r="C91" s="13"/>
      <c r="D91" s="12"/>
      <c r="E91" s="12"/>
      <c r="F91" s="8"/>
      <c r="G91" s="8"/>
      <c r="H91" s="8"/>
      <c r="I91" s="8"/>
      <c r="J91" s="8"/>
      <c r="K91" s="8"/>
      <c r="L91" s="8"/>
      <c r="M91" s="8"/>
      <c r="N91" s="8"/>
      <c r="O91" s="8"/>
      <c r="P91" s="8"/>
      <c r="Q91" s="8"/>
      <c r="R91" s="8"/>
      <c r="S91" s="8"/>
      <c r="T91" s="8"/>
      <c r="U91" s="8"/>
      <c r="V91" s="8"/>
      <c r="W91" s="8"/>
      <c r="X91" s="8"/>
      <c r="Y91" s="8"/>
      <c r="Z91" s="8"/>
    </row>
    <row r="92" ht="12.0" customHeight="1">
      <c r="A92" s="8" t="s">
        <v>108</v>
      </c>
      <c r="B92" s="13"/>
      <c r="C92" s="13"/>
      <c r="D92" s="12"/>
      <c r="E92" s="12"/>
      <c r="F92" s="8"/>
      <c r="G92" s="8"/>
      <c r="H92" s="8"/>
      <c r="I92" s="8"/>
      <c r="J92" s="8"/>
      <c r="K92" s="8"/>
      <c r="L92" s="8"/>
      <c r="M92" s="8"/>
      <c r="N92" s="8"/>
      <c r="O92" s="8"/>
      <c r="P92" s="8"/>
      <c r="Q92" s="8"/>
      <c r="R92" s="8"/>
      <c r="S92" s="8"/>
      <c r="T92" s="8"/>
      <c r="U92" s="8"/>
      <c r="V92" s="8"/>
      <c r="W92" s="8"/>
      <c r="X92" s="8"/>
      <c r="Y92" s="8"/>
      <c r="Z92" s="8"/>
    </row>
    <row r="93" ht="12.0" customHeight="1">
      <c r="A93" s="11" t="s">
        <v>109</v>
      </c>
      <c r="B93" s="12">
        <v>1995.0</v>
      </c>
      <c r="C93" s="13"/>
      <c r="D93" s="12"/>
      <c r="E93" s="12"/>
      <c r="F93" s="8"/>
      <c r="G93" s="8"/>
      <c r="H93" s="8"/>
      <c r="I93" s="8"/>
      <c r="J93" s="8"/>
      <c r="K93" s="8"/>
      <c r="L93" s="8"/>
      <c r="M93" s="8"/>
      <c r="N93" s="8"/>
      <c r="O93" s="8"/>
      <c r="P93" s="8"/>
      <c r="Q93" s="8"/>
      <c r="R93" s="8"/>
      <c r="S93" s="8"/>
      <c r="T93" s="8"/>
      <c r="U93" s="8"/>
      <c r="V93" s="8"/>
      <c r="W93" s="8"/>
      <c r="X93" s="8"/>
      <c r="Y93" s="8"/>
      <c r="Z93" s="8"/>
    </row>
    <row r="94" ht="12.0" customHeight="1">
      <c r="A94" s="11" t="s">
        <v>110</v>
      </c>
      <c r="B94" s="12">
        <v>2008.0</v>
      </c>
      <c r="C94" s="13"/>
      <c r="D94" s="12"/>
      <c r="E94" s="12"/>
      <c r="F94" s="8"/>
      <c r="G94" s="8"/>
      <c r="H94" s="8"/>
      <c r="I94" s="8"/>
      <c r="J94" s="8"/>
      <c r="K94" s="8"/>
      <c r="L94" s="8"/>
      <c r="M94" s="8"/>
      <c r="N94" s="8"/>
      <c r="O94" s="8"/>
      <c r="P94" s="8"/>
      <c r="Q94" s="8"/>
      <c r="R94" s="8"/>
      <c r="S94" s="8"/>
      <c r="T94" s="8"/>
      <c r="U94" s="8"/>
      <c r="V94" s="8"/>
      <c r="W94" s="8"/>
      <c r="X94" s="8"/>
      <c r="Y94" s="8"/>
      <c r="Z94" s="8"/>
    </row>
    <row r="95" ht="12.0" customHeight="1">
      <c r="A95" s="11" t="s">
        <v>111</v>
      </c>
      <c r="B95" s="12">
        <v>1993.0</v>
      </c>
      <c r="C95" s="13"/>
      <c r="D95" s="12"/>
      <c r="E95" s="12"/>
      <c r="F95" s="8"/>
      <c r="G95" s="8"/>
      <c r="H95" s="8"/>
      <c r="I95" s="8"/>
      <c r="J95" s="8"/>
      <c r="K95" s="8"/>
      <c r="L95" s="8"/>
      <c r="M95" s="8"/>
      <c r="N95" s="8"/>
      <c r="O95" s="8"/>
      <c r="P95" s="8"/>
      <c r="Q95" s="8"/>
      <c r="R95" s="8"/>
      <c r="S95" s="8"/>
      <c r="T95" s="8"/>
      <c r="U95" s="8"/>
      <c r="V95" s="8"/>
      <c r="W95" s="8"/>
      <c r="X95" s="8"/>
      <c r="Y95" s="8"/>
      <c r="Z95" s="8"/>
    </row>
    <row r="96" ht="12.0" customHeight="1">
      <c r="A96" s="11" t="s">
        <v>112</v>
      </c>
      <c r="B96" s="12">
        <v>1988.0</v>
      </c>
      <c r="C96" s="13"/>
      <c r="D96" s="12"/>
      <c r="E96" s="12"/>
      <c r="F96" s="8"/>
      <c r="G96" s="8"/>
      <c r="H96" s="8"/>
      <c r="I96" s="8"/>
      <c r="J96" s="8"/>
      <c r="K96" s="8"/>
      <c r="L96" s="8"/>
      <c r="M96" s="8"/>
      <c r="N96" s="8"/>
      <c r="O96" s="8"/>
      <c r="P96" s="8"/>
      <c r="Q96" s="8"/>
      <c r="R96" s="8"/>
      <c r="S96" s="8"/>
      <c r="T96" s="8"/>
      <c r="U96" s="8"/>
      <c r="V96" s="8"/>
      <c r="W96" s="8"/>
      <c r="X96" s="8"/>
      <c r="Y96" s="8"/>
      <c r="Z96" s="8"/>
    </row>
    <row r="97" ht="12.0" customHeight="1">
      <c r="A97" s="8" t="s">
        <v>113</v>
      </c>
      <c r="B97" s="13"/>
      <c r="C97" s="13"/>
      <c r="D97" s="12"/>
      <c r="E97" s="12"/>
      <c r="F97" s="8"/>
      <c r="G97" s="8"/>
      <c r="H97" s="8"/>
      <c r="I97" s="8"/>
      <c r="J97" s="8"/>
      <c r="K97" s="8"/>
      <c r="L97" s="8"/>
      <c r="M97" s="8"/>
      <c r="N97" s="8"/>
      <c r="O97" s="8"/>
      <c r="P97" s="8"/>
      <c r="Q97" s="8"/>
      <c r="R97" s="8"/>
      <c r="S97" s="8"/>
      <c r="T97" s="8"/>
      <c r="U97" s="8"/>
      <c r="V97" s="8"/>
      <c r="W97" s="8"/>
      <c r="X97" s="8"/>
      <c r="Y97" s="8"/>
      <c r="Z97" s="8"/>
    </row>
    <row r="98" ht="12.0" customHeight="1">
      <c r="A98" s="11" t="s">
        <v>114</v>
      </c>
      <c r="B98" s="12">
        <v>1997.0</v>
      </c>
      <c r="C98" s="13"/>
      <c r="D98" s="12"/>
      <c r="E98" s="12"/>
      <c r="F98" s="8"/>
      <c r="G98" s="8"/>
      <c r="H98" s="8"/>
      <c r="I98" s="8"/>
      <c r="J98" s="8"/>
      <c r="K98" s="8"/>
      <c r="L98" s="8"/>
      <c r="M98" s="8"/>
      <c r="N98" s="8"/>
      <c r="O98" s="8"/>
      <c r="P98" s="8"/>
      <c r="Q98" s="8"/>
      <c r="R98" s="8"/>
      <c r="S98" s="8"/>
      <c r="T98" s="8"/>
      <c r="U98" s="8"/>
      <c r="V98" s="8"/>
      <c r="W98" s="8"/>
      <c r="X98" s="8"/>
      <c r="Y98" s="8"/>
      <c r="Z98" s="8"/>
    </row>
    <row r="99" ht="12.0" customHeight="1">
      <c r="A99" s="8" t="s">
        <v>115</v>
      </c>
      <c r="B99" s="13"/>
      <c r="C99" s="13"/>
      <c r="D99" s="12"/>
      <c r="E99" s="12"/>
      <c r="F99" s="8"/>
      <c r="G99" s="8"/>
      <c r="H99" s="8"/>
      <c r="I99" s="8"/>
      <c r="J99" s="8"/>
      <c r="K99" s="8"/>
      <c r="L99" s="8"/>
      <c r="M99" s="8"/>
      <c r="N99" s="8"/>
      <c r="O99" s="8"/>
      <c r="P99" s="8"/>
      <c r="Q99" s="8"/>
      <c r="R99" s="8"/>
      <c r="S99" s="8"/>
      <c r="T99" s="8"/>
      <c r="U99" s="8"/>
      <c r="V99" s="8"/>
      <c r="W99" s="8"/>
      <c r="X99" s="8"/>
      <c r="Y99" s="8"/>
      <c r="Z99" s="8"/>
    </row>
    <row r="100" ht="12.0" customHeight="1">
      <c r="A100" s="11" t="s">
        <v>116</v>
      </c>
      <c r="B100" s="12">
        <v>1987.0</v>
      </c>
      <c r="C100" s="13"/>
      <c r="D100" s="12"/>
      <c r="E100" s="12"/>
      <c r="F100" s="8"/>
      <c r="G100" s="8"/>
      <c r="H100" s="8"/>
      <c r="I100" s="8"/>
      <c r="J100" s="8"/>
      <c r="K100" s="8"/>
      <c r="L100" s="8"/>
      <c r="M100" s="8"/>
      <c r="N100" s="8"/>
      <c r="O100" s="8"/>
      <c r="P100" s="8"/>
      <c r="Q100" s="8"/>
      <c r="R100" s="8"/>
      <c r="S100" s="8"/>
      <c r="T100" s="8"/>
      <c r="U100" s="8"/>
      <c r="V100" s="8"/>
      <c r="W100" s="8"/>
      <c r="X100" s="8"/>
      <c r="Y100" s="8"/>
      <c r="Z100" s="8"/>
    </row>
    <row r="101" ht="12.0" customHeight="1">
      <c r="A101" s="11" t="s">
        <v>117</v>
      </c>
      <c r="B101" s="12">
        <v>1984.0</v>
      </c>
      <c r="C101" s="13"/>
      <c r="D101" s="12"/>
      <c r="E101" s="12"/>
      <c r="F101" s="8"/>
      <c r="G101" s="8"/>
      <c r="H101" s="8"/>
      <c r="I101" s="8"/>
      <c r="J101" s="8"/>
      <c r="K101" s="8"/>
      <c r="L101" s="8"/>
      <c r="M101" s="8"/>
      <c r="N101" s="8"/>
      <c r="O101" s="8"/>
      <c r="P101" s="8"/>
      <c r="Q101" s="8"/>
      <c r="R101" s="8"/>
      <c r="S101" s="8"/>
      <c r="T101" s="8"/>
      <c r="U101" s="8"/>
      <c r="V101" s="8"/>
      <c r="W101" s="8"/>
      <c r="X101" s="8"/>
      <c r="Y101" s="8"/>
      <c r="Z101" s="8"/>
    </row>
    <row r="102" ht="12.0" customHeight="1">
      <c r="A102" s="11" t="s">
        <v>118</v>
      </c>
      <c r="B102" s="12"/>
      <c r="C102" s="13"/>
      <c r="D102" s="12"/>
      <c r="E102" s="12"/>
      <c r="F102" s="8"/>
      <c r="G102" s="8"/>
      <c r="H102" s="8"/>
      <c r="I102" s="8"/>
      <c r="J102" s="8"/>
      <c r="K102" s="8"/>
      <c r="L102" s="8"/>
      <c r="M102" s="8"/>
      <c r="N102" s="8"/>
      <c r="O102" s="8"/>
      <c r="P102" s="8"/>
      <c r="Q102" s="8"/>
      <c r="R102" s="8"/>
      <c r="S102" s="8"/>
      <c r="T102" s="8"/>
      <c r="U102" s="8"/>
      <c r="V102" s="8"/>
      <c r="W102" s="8"/>
      <c r="X102" s="8"/>
      <c r="Y102" s="8"/>
      <c r="Z102" s="8"/>
    </row>
    <row r="103" ht="12.0" customHeight="1">
      <c r="A103" s="11" t="s">
        <v>119</v>
      </c>
      <c r="B103" s="12" t="s">
        <v>120</v>
      </c>
      <c r="C103" s="13"/>
      <c r="D103" s="12"/>
      <c r="E103" s="12"/>
      <c r="F103" s="8"/>
      <c r="G103" s="8"/>
      <c r="H103" s="8"/>
      <c r="I103" s="8"/>
      <c r="J103" s="8"/>
      <c r="K103" s="8"/>
      <c r="L103" s="8"/>
      <c r="M103" s="8"/>
      <c r="N103" s="8"/>
      <c r="O103" s="8"/>
      <c r="P103" s="8"/>
      <c r="Q103" s="8"/>
      <c r="R103" s="8"/>
      <c r="S103" s="8"/>
      <c r="T103" s="8"/>
      <c r="U103" s="8"/>
      <c r="V103" s="8"/>
      <c r="W103" s="8"/>
      <c r="X103" s="8"/>
      <c r="Y103" s="8"/>
      <c r="Z103" s="8"/>
    </row>
    <row r="104" ht="12.0" customHeight="1">
      <c r="A104" s="8" t="s">
        <v>121</v>
      </c>
      <c r="B104" s="13">
        <v>2014.0</v>
      </c>
      <c r="C104" s="13"/>
      <c r="D104" s="12"/>
      <c r="E104" s="12"/>
      <c r="F104" s="8"/>
      <c r="G104" s="8"/>
      <c r="H104" s="8"/>
      <c r="I104" s="8"/>
      <c r="J104" s="8"/>
      <c r="K104" s="8"/>
      <c r="L104" s="8"/>
      <c r="M104" s="8"/>
      <c r="N104" s="8"/>
      <c r="O104" s="8"/>
      <c r="P104" s="8"/>
      <c r="Q104" s="8"/>
      <c r="R104" s="8"/>
      <c r="S104" s="8"/>
      <c r="T104" s="8"/>
      <c r="U104" s="8"/>
      <c r="V104" s="8"/>
      <c r="W104" s="8"/>
      <c r="X104" s="8"/>
      <c r="Y104" s="8"/>
      <c r="Z104" s="8"/>
    </row>
    <row r="105" ht="12.0" customHeight="1">
      <c r="A105" s="8" t="s">
        <v>122</v>
      </c>
      <c r="B105" s="13">
        <v>2008.0</v>
      </c>
      <c r="C105" s="13"/>
      <c r="D105" s="12"/>
      <c r="E105" s="12"/>
      <c r="F105" s="8"/>
      <c r="G105" s="8"/>
      <c r="H105" s="8"/>
      <c r="I105" s="8"/>
      <c r="J105" s="8"/>
      <c r="K105" s="8"/>
      <c r="L105" s="8"/>
      <c r="M105" s="8"/>
      <c r="N105" s="8"/>
      <c r="O105" s="8"/>
      <c r="P105" s="8"/>
      <c r="Q105" s="8"/>
      <c r="R105" s="8"/>
      <c r="S105" s="8"/>
      <c r="T105" s="8"/>
      <c r="U105" s="8"/>
      <c r="V105" s="8"/>
      <c r="W105" s="8"/>
      <c r="X105" s="8"/>
      <c r="Y105" s="8"/>
      <c r="Z105" s="8"/>
    </row>
    <row r="106" ht="12.0" customHeight="1">
      <c r="A106" s="11" t="s">
        <v>123</v>
      </c>
      <c r="B106" s="12">
        <v>1980.0</v>
      </c>
      <c r="C106" s="13"/>
      <c r="D106" s="12"/>
      <c r="E106" s="12"/>
      <c r="F106" s="8"/>
      <c r="G106" s="8"/>
      <c r="H106" s="8"/>
      <c r="I106" s="8"/>
      <c r="J106" s="8"/>
      <c r="K106" s="8"/>
      <c r="L106" s="8"/>
      <c r="M106" s="8"/>
      <c r="N106" s="8"/>
      <c r="O106" s="8"/>
      <c r="P106" s="8"/>
      <c r="Q106" s="8"/>
      <c r="R106" s="8"/>
      <c r="S106" s="8"/>
      <c r="T106" s="8"/>
      <c r="U106" s="8"/>
      <c r="V106" s="8"/>
      <c r="W106" s="8"/>
      <c r="X106" s="8"/>
      <c r="Y106" s="8"/>
      <c r="Z106" s="8"/>
    </row>
    <row r="107" ht="12.0" customHeight="1">
      <c r="A107" s="11" t="s">
        <v>124</v>
      </c>
      <c r="B107" s="12">
        <v>1987.0</v>
      </c>
      <c r="C107" s="13"/>
      <c r="D107" s="12"/>
      <c r="E107" s="12"/>
      <c r="F107" s="8"/>
      <c r="G107" s="8"/>
      <c r="H107" s="8"/>
      <c r="I107" s="8"/>
      <c r="J107" s="8"/>
      <c r="K107" s="8"/>
      <c r="L107" s="8"/>
      <c r="M107" s="8"/>
      <c r="N107" s="8"/>
      <c r="O107" s="8"/>
      <c r="P107" s="8"/>
      <c r="Q107" s="8"/>
      <c r="R107" s="8"/>
      <c r="S107" s="8"/>
      <c r="T107" s="8"/>
      <c r="U107" s="8"/>
      <c r="V107" s="8"/>
      <c r="W107" s="8"/>
      <c r="X107" s="8"/>
      <c r="Y107" s="8"/>
      <c r="Z107" s="8"/>
    </row>
    <row r="108" ht="12.0" customHeight="1">
      <c r="A108" s="11" t="s">
        <v>125</v>
      </c>
      <c r="B108" s="12"/>
      <c r="C108" s="13"/>
      <c r="D108" s="12"/>
      <c r="E108" s="12"/>
      <c r="F108" s="8"/>
      <c r="G108" s="8"/>
      <c r="H108" s="8"/>
      <c r="I108" s="8"/>
      <c r="J108" s="8"/>
      <c r="K108" s="8"/>
      <c r="L108" s="8"/>
      <c r="M108" s="8"/>
      <c r="N108" s="8"/>
      <c r="O108" s="8"/>
      <c r="P108" s="8"/>
      <c r="Q108" s="8"/>
      <c r="R108" s="8"/>
      <c r="S108" s="8"/>
      <c r="T108" s="8"/>
      <c r="U108" s="8"/>
      <c r="V108" s="8"/>
      <c r="W108" s="8"/>
      <c r="X108" s="8"/>
      <c r="Y108" s="8"/>
      <c r="Z108" s="8"/>
    </row>
    <row r="109" ht="12.0" customHeight="1">
      <c r="A109" s="8" t="s">
        <v>126</v>
      </c>
      <c r="B109" s="12"/>
      <c r="C109" s="13"/>
      <c r="D109" s="12"/>
      <c r="E109" s="12"/>
      <c r="F109" s="8"/>
      <c r="G109" s="8"/>
      <c r="H109" s="8"/>
      <c r="I109" s="8"/>
      <c r="J109" s="8"/>
      <c r="K109" s="8"/>
      <c r="L109" s="8"/>
      <c r="M109" s="8"/>
      <c r="N109" s="8"/>
      <c r="O109" s="8"/>
      <c r="P109" s="8"/>
      <c r="Q109" s="8"/>
      <c r="R109" s="8"/>
      <c r="S109" s="8"/>
      <c r="T109" s="8"/>
      <c r="U109" s="8"/>
      <c r="V109" s="8"/>
      <c r="W109" s="8"/>
      <c r="X109" s="8"/>
      <c r="Y109" s="8"/>
      <c r="Z109" s="8"/>
    </row>
    <row r="110" ht="12.0" customHeight="1">
      <c r="A110" s="11" t="s">
        <v>127</v>
      </c>
      <c r="B110" s="12">
        <v>1988.0</v>
      </c>
      <c r="C110" s="13"/>
      <c r="D110" s="12"/>
      <c r="E110" s="12"/>
      <c r="F110" s="8"/>
      <c r="G110" s="8"/>
      <c r="H110" s="8"/>
      <c r="I110" s="8"/>
      <c r="J110" s="8"/>
      <c r="K110" s="8"/>
      <c r="L110" s="8"/>
      <c r="M110" s="8"/>
      <c r="N110" s="8"/>
      <c r="O110" s="8"/>
      <c r="P110" s="8"/>
      <c r="Q110" s="8"/>
      <c r="R110" s="8"/>
      <c r="S110" s="8"/>
      <c r="T110" s="8"/>
      <c r="U110" s="8"/>
      <c r="V110" s="8"/>
      <c r="W110" s="8"/>
      <c r="X110" s="8"/>
      <c r="Y110" s="8"/>
      <c r="Z110" s="8"/>
    </row>
    <row r="111" ht="12.0" customHeight="1">
      <c r="A111" s="11" t="s">
        <v>128</v>
      </c>
      <c r="B111" s="13">
        <v>2008.0</v>
      </c>
      <c r="C111" s="13"/>
      <c r="D111" s="12"/>
      <c r="E111" s="12"/>
      <c r="F111" s="8"/>
      <c r="G111" s="8"/>
      <c r="H111" s="8"/>
      <c r="I111" s="8"/>
      <c r="J111" s="8"/>
      <c r="K111" s="8"/>
      <c r="L111" s="8"/>
      <c r="M111" s="8"/>
      <c r="N111" s="8"/>
      <c r="O111" s="8"/>
      <c r="P111" s="8"/>
      <c r="Q111" s="8"/>
      <c r="R111" s="8"/>
      <c r="S111" s="8"/>
      <c r="T111" s="8"/>
      <c r="U111" s="8"/>
      <c r="V111" s="8"/>
      <c r="W111" s="8"/>
      <c r="X111" s="8"/>
      <c r="Y111" s="8"/>
      <c r="Z111" s="8"/>
    </row>
    <row r="112" ht="12.0" customHeight="1">
      <c r="A112" s="8" t="s">
        <v>129</v>
      </c>
      <c r="B112" s="13"/>
      <c r="C112" s="13"/>
      <c r="D112" s="12"/>
      <c r="E112" s="12"/>
      <c r="F112" s="8"/>
      <c r="G112" s="8"/>
      <c r="H112" s="8"/>
      <c r="I112" s="8"/>
      <c r="J112" s="8"/>
      <c r="K112" s="8"/>
      <c r="L112" s="8"/>
      <c r="M112" s="8"/>
      <c r="N112" s="8"/>
      <c r="O112" s="8"/>
      <c r="P112" s="8"/>
      <c r="Q112" s="8"/>
      <c r="R112" s="8"/>
      <c r="S112" s="8"/>
      <c r="T112" s="8"/>
      <c r="U112" s="8"/>
      <c r="V112" s="8"/>
      <c r="W112" s="8"/>
      <c r="X112" s="8"/>
      <c r="Y112" s="8"/>
      <c r="Z112" s="8"/>
    </row>
    <row r="113" ht="12.0" customHeight="1">
      <c r="A113" s="11" t="s">
        <v>130</v>
      </c>
      <c r="B113" s="12"/>
      <c r="C113" s="13"/>
      <c r="D113" s="12"/>
      <c r="E113" s="12"/>
      <c r="F113" s="8"/>
      <c r="G113" s="8"/>
      <c r="H113" s="8"/>
      <c r="I113" s="8"/>
      <c r="J113" s="8"/>
      <c r="K113" s="8"/>
      <c r="L113" s="8"/>
      <c r="M113" s="8"/>
      <c r="N113" s="8"/>
      <c r="O113" s="8"/>
      <c r="P113" s="8"/>
      <c r="Q113" s="8"/>
      <c r="R113" s="8"/>
      <c r="S113" s="8"/>
      <c r="T113" s="8"/>
      <c r="U113" s="8"/>
      <c r="V113" s="8"/>
      <c r="W113" s="8"/>
      <c r="X113" s="8"/>
      <c r="Y113" s="8"/>
      <c r="Z113" s="8"/>
    </row>
    <row r="114" ht="12.0" customHeight="1">
      <c r="A114" s="11" t="s">
        <v>131</v>
      </c>
      <c r="B114" s="12" t="s">
        <v>132</v>
      </c>
      <c r="C114" s="13"/>
      <c r="D114" s="12"/>
      <c r="E114" s="12"/>
      <c r="F114" s="8"/>
      <c r="G114" s="8"/>
      <c r="H114" s="8"/>
      <c r="I114" s="8"/>
      <c r="J114" s="8"/>
      <c r="K114" s="8"/>
      <c r="L114" s="8"/>
      <c r="M114" s="8"/>
      <c r="N114" s="8"/>
      <c r="O114" s="8"/>
      <c r="P114" s="8"/>
      <c r="Q114" s="8"/>
      <c r="R114" s="8"/>
      <c r="S114" s="8"/>
      <c r="T114" s="8"/>
      <c r="U114" s="8"/>
      <c r="V114" s="8"/>
      <c r="W114" s="8"/>
      <c r="X114" s="8"/>
      <c r="Y114" s="8"/>
      <c r="Z114" s="8"/>
    </row>
    <row r="115" ht="12.0" customHeight="1">
      <c r="A115" s="11" t="s">
        <v>133</v>
      </c>
      <c r="B115" s="12">
        <v>1983.0</v>
      </c>
      <c r="C115" s="13"/>
      <c r="D115" s="12"/>
      <c r="E115" s="12"/>
      <c r="F115" s="8"/>
      <c r="G115" s="8"/>
      <c r="H115" s="8"/>
      <c r="I115" s="8"/>
      <c r="J115" s="8"/>
      <c r="K115" s="8"/>
      <c r="L115" s="8"/>
      <c r="M115" s="8"/>
      <c r="N115" s="8"/>
      <c r="O115" s="8"/>
      <c r="P115" s="8"/>
      <c r="Q115" s="8"/>
      <c r="R115" s="8"/>
      <c r="S115" s="8"/>
      <c r="T115" s="8"/>
      <c r="U115" s="8"/>
      <c r="V115" s="8"/>
      <c r="W115" s="8"/>
      <c r="X115" s="8"/>
      <c r="Y115" s="8"/>
      <c r="Z115" s="8"/>
    </row>
    <row r="116" ht="12.0" customHeight="1">
      <c r="A116" s="11" t="s">
        <v>134</v>
      </c>
      <c r="B116" s="12" t="s">
        <v>135</v>
      </c>
      <c r="C116" s="13"/>
      <c r="D116" s="12"/>
      <c r="E116" s="12"/>
      <c r="F116" s="8"/>
      <c r="G116" s="8"/>
      <c r="H116" s="8"/>
      <c r="I116" s="8"/>
      <c r="J116" s="8"/>
      <c r="K116" s="8"/>
      <c r="L116" s="8"/>
      <c r="M116" s="8"/>
      <c r="N116" s="8"/>
      <c r="O116" s="8"/>
      <c r="P116" s="8"/>
      <c r="Q116" s="8"/>
      <c r="R116" s="8"/>
      <c r="S116" s="8"/>
      <c r="T116" s="8"/>
      <c r="U116" s="8"/>
      <c r="V116" s="8"/>
      <c r="W116" s="8"/>
      <c r="X116" s="8"/>
      <c r="Y116" s="8"/>
      <c r="Z116" s="8"/>
    </row>
    <row r="117" ht="12.0" customHeight="1">
      <c r="A117" s="11" t="s">
        <v>136</v>
      </c>
      <c r="B117" s="12">
        <v>1991.0</v>
      </c>
      <c r="C117" s="13"/>
      <c r="D117" s="12"/>
      <c r="E117" s="12"/>
      <c r="F117" s="8"/>
      <c r="G117" s="8"/>
      <c r="H117" s="8"/>
      <c r="I117" s="8"/>
      <c r="J117" s="8"/>
      <c r="K117" s="8"/>
      <c r="L117" s="8"/>
      <c r="M117" s="8"/>
      <c r="N117" s="8"/>
      <c r="O117" s="8"/>
      <c r="P117" s="8"/>
      <c r="Q117" s="8"/>
      <c r="R117" s="8"/>
      <c r="S117" s="8"/>
      <c r="T117" s="8"/>
      <c r="U117" s="8"/>
      <c r="V117" s="8"/>
      <c r="W117" s="8"/>
      <c r="X117" s="8"/>
      <c r="Y117" s="8"/>
      <c r="Z117" s="8"/>
    </row>
    <row r="118" ht="12.0" customHeight="1">
      <c r="A118" s="8" t="s">
        <v>137</v>
      </c>
      <c r="B118" s="13"/>
      <c r="C118" s="13"/>
      <c r="D118" s="12"/>
      <c r="E118" s="12"/>
      <c r="F118" s="8"/>
      <c r="G118" s="8"/>
      <c r="H118" s="8"/>
      <c r="I118" s="8"/>
      <c r="J118" s="8"/>
      <c r="K118" s="8"/>
      <c r="L118" s="8"/>
      <c r="M118" s="8"/>
      <c r="N118" s="8"/>
      <c r="O118" s="8"/>
      <c r="P118" s="8"/>
      <c r="Q118" s="8"/>
      <c r="R118" s="8"/>
      <c r="S118" s="8"/>
      <c r="T118" s="8"/>
      <c r="U118" s="8"/>
      <c r="V118" s="8"/>
      <c r="W118" s="8"/>
      <c r="X118" s="8"/>
      <c r="Y118" s="8"/>
      <c r="Z118" s="8"/>
    </row>
    <row r="119" ht="12.0" customHeight="1">
      <c r="A119" s="11" t="s">
        <v>138</v>
      </c>
      <c r="B119" s="12">
        <v>1988.0</v>
      </c>
      <c r="C119" s="13"/>
      <c r="D119" s="12"/>
      <c r="E119" s="12"/>
      <c r="F119" s="8"/>
      <c r="G119" s="8"/>
      <c r="H119" s="8"/>
      <c r="I119" s="8"/>
      <c r="J119" s="8"/>
      <c r="K119" s="8"/>
      <c r="L119" s="8"/>
      <c r="M119" s="8"/>
      <c r="N119" s="8"/>
      <c r="O119" s="8"/>
      <c r="P119" s="8"/>
      <c r="Q119" s="8"/>
      <c r="R119" s="8"/>
      <c r="S119" s="8"/>
      <c r="T119" s="8"/>
      <c r="U119" s="8"/>
      <c r="V119" s="8"/>
      <c r="W119" s="8"/>
      <c r="X119" s="8"/>
      <c r="Y119" s="8"/>
      <c r="Z119" s="8"/>
    </row>
    <row r="120" ht="12.0" customHeight="1">
      <c r="A120" s="11" t="s">
        <v>139</v>
      </c>
      <c r="B120" s="12"/>
      <c r="C120" s="13"/>
      <c r="D120" s="12"/>
      <c r="E120" s="12"/>
      <c r="F120" s="8"/>
      <c r="G120" s="8"/>
      <c r="H120" s="8"/>
      <c r="I120" s="8"/>
      <c r="J120" s="8"/>
      <c r="K120" s="8"/>
      <c r="L120" s="8"/>
      <c r="M120" s="8"/>
      <c r="N120" s="8"/>
      <c r="O120" s="8"/>
      <c r="P120" s="8"/>
      <c r="Q120" s="8"/>
      <c r="R120" s="8"/>
      <c r="S120" s="8"/>
      <c r="T120" s="8"/>
      <c r="U120" s="8"/>
      <c r="V120" s="8"/>
      <c r="W120" s="8"/>
      <c r="X120" s="8"/>
      <c r="Y120" s="8"/>
      <c r="Z120" s="8"/>
    </row>
    <row r="121" ht="12.0" customHeight="1">
      <c r="A121" s="11" t="s">
        <v>140</v>
      </c>
      <c r="B121" s="12">
        <v>1995.0</v>
      </c>
      <c r="C121" s="13"/>
      <c r="D121" s="12"/>
      <c r="E121" s="12"/>
      <c r="F121" s="8"/>
      <c r="G121" s="8"/>
      <c r="H121" s="8"/>
      <c r="I121" s="8"/>
      <c r="J121" s="8"/>
      <c r="K121" s="8"/>
      <c r="L121" s="8"/>
      <c r="M121" s="8"/>
      <c r="N121" s="8"/>
      <c r="O121" s="8"/>
      <c r="P121" s="8"/>
      <c r="Q121" s="8"/>
      <c r="R121" s="8"/>
      <c r="S121" s="8"/>
      <c r="T121" s="8"/>
      <c r="U121" s="8"/>
      <c r="V121" s="8"/>
      <c r="W121" s="8"/>
      <c r="X121" s="8"/>
      <c r="Y121" s="8"/>
      <c r="Z121" s="8"/>
    </row>
    <row r="122" ht="12.0" customHeight="1">
      <c r="A122" s="11" t="s">
        <v>141</v>
      </c>
      <c r="B122" s="12">
        <v>1983.0</v>
      </c>
      <c r="C122" s="13"/>
      <c r="D122" s="12"/>
      <c r="E122" s="12"/>
      <c r="F122" s="8"/>
      <c r="G122" s="8"/>
      <c r="H122" s="8"/>
      <c r="I122" s="8"/>
      <c r="J122" s="8"/>
      <c r="K122" s="8"/>
      <c r="L122" s="8"/>
      <c r="M122" s="8"/>
      <c r="N122" s="8"/>
      <c r="O122" s="8"/>
      <c r="P122" s="8"/>
      <c r="Q122" s="8"/>
      <c r="R122" s="8"/>
      <c r="S122" s="8"/>
      <c r="T122" s="8"/>
      <c r="U122" s="8"/>
      <c r="V122" s="8"/>
      <c r="W122" s="8"/>
      <c r="X122" s="8"/>
      <c r="Y122" s="8"/>
      <c r="Z122" s="8"/>
    </row>
    <row r="123" ht="12.0" customHeight="1">
      <c r="A123" s="11" t="s">
        <v>142</v>
      </c>
      <c r="B123" s="12" t="s">
        <v>143</v>
      </c>
      <c r="C123" s="13"/>
      <c r="D123" s="12"/>
      <c r="E123" s="12"/>
      <c r="F123" s="8"/>
      <c r="G123" s="8"/>
      <c r="H123" s="8"/>
      <c r="I123" s="8"/>
      <c r="J123" s="8"/>
      <c r="K123" s="8"/>
      <c r="L123" s="8"/>
      <c r="M123" s="8"/>
      <c r="N123" s="8"/>
      <c r="O123" s="8"/>
      <c r="P123" s="8"/>
      <c r="Q123" s="8"/>
      <c r="R123" s="8"/>
      <c r="S123" s="8"/>
      <c r="T123" s="8"/>
      <c r="U123" s="8"/>
      <c r="V123" s="8"/>
      <c r="W123" s="8"/>
      <c r="X123" s="8"/>
      <c r="Y123" s="8"/>
      <c r="Z123" s="8"/>
    </row>
    <row r="124" ht="12.0" customHeight="1">
      <c r="A124" s="11" t="s">
        <v>144</v>
      </c>
      <c r="B124" s="12">
        <v>1992.0</v>
      </c>
      <c r="C124" s="13"/>
      <c r="D124" s="12"/>
      <c r="E124" s="12"/>
      <c r="F124" s="8"/>
      <c r="G124" s="8"/>
      <c r="H124" s="8"/>
      <c r="I124" s="8"/>
      <c r="J124" s="8"/>
      <c r="K124" s="8"/>
      <c r="L124" s="8"/>
      <c r="M124" s="8"/>
      <c r="N124" s="8"/>
      <c r="O124" s="8"/>
      <c r="P124" s="8"/>
      <c r="Q124" s="8"/>
      <c r="R124" s="8"/>
      <c r="S124" s="8"/>
      <c r="T124" s="8"/>
      <c r="U124" s="8"/>
      <c r="V124" s="8"/>
      <c r="W124" s="8"/>
      <c r="X124" s="8"/>
      <c r="Y124" s="8"/>
      <c r="Z124" s="8"/>
    </row>
    <row r="125" ht="12.0" customHeight="1">
      <c r="A125" s="8" t="s">
        <v>145</v>
      </c>
      <c r="B125" s="13">
        <v>2008.0</v>
      </c>
      <c r="C125" s="13"/>
      <c r="D125" s="12"/>
      <c r="E125" s="12"/>
      <c r="F125" s="8"/>
      <c r="G125" s="8"/>
      <c r="H125" s="8"/>
      <c r="I125" s="8"/>
      <c r="J125" s="8"/>
      <c r="K125" s="8"/>
      <c r="L125" s="8"/>
      <c r="M125" s="8"/>
      <c r="N125" s="8"/>
      <c r="O125" s="8"/>
      <c r="P125" s="8"/>
      <c r="Q125" s="8"/>
      <c r="R125" s="8"/>
      <c r="S125" s="8"/>
      <c r="T125" s="8"/>
      <c r="U125" s="8"/>
      <c r="V125" s="8"/>
      <c r="W125" s="8"/>
      <c r="X125" s="8"/>
      <c r="Y125" s="8"/>
      <c r="Z125" s="8"/>
    </row>
    <row r="126" ht="12.0" customHeight="1">
      <c r="A126" s="11" t="s">
        <v>146</v>
      </c>
      <c r="B126" s="12">
        <v>1998.0</v>
      </c>
      <c r="C126" s="13"/>
      <c r="D126" s="12"/>
      <c r="E126" s="12"/>
      <c r="F126" s="8"/>
      <c r="G126" s="8"/>
      <c r="H126" s="8"/>
      <c r="I126" s="8"/>
      <c r="J126" s="8"/>
      <c r="K126" s="8"/>
      <c r="L126" s="8"/>
      <c r="M126" s="8"/>
      <c r="N126" s="8"/>
      <c r="O126" s="8"/>
      <c r="P126" s="8"/>
      <c r="Q126" s="8"/>
      <c r="R126" s="8"/>
      <c r="S126" s="8"/>
      <c r="T126" s="8"/>
      <c r="U126" s="8"/>
      <c r="V126" s="8"/>
      <c r="W126" s="8"/>
      <c r="X126" s="8"/>
      <c r="Y126" s="8"/>
      <c r="Z126" s="8"/>
    </row>
    <row r="127" ht="12.0" customHeight="1">
      <c r="A127" s="11" t="s">
        <v>147</v>
      </c>
      <c r="B127" s="12" t="s">
        <v>148</v>
      </c>
      <c r="C127" s="13"/>
      <c r="D127" s="12"/>
      <c r="E127" s="12"/>
      <c r="F127" s="8"/>
      <c r="G127" s="8"/>
      <c r="H127" s="8"/>
      <c r="I127" s="8"/>
      <c r="J127" s="8"/>
      <c r="K127" s="8"/>
      <c r="L127" s="8"/>
      <c r="M127" s="8"/>
      <c r="N127" s="8"/>
      <c r="O127" s="8"/>
      <c r="P127" s="8"/>
      <c r="Q127" s="8"/>
      <c r="R127" s="8"/>
      <c r="S127" s="8"/>
      <c r="T127" s="8"/>
      <c r="U127" s="8"/>
      <c r="V127" s="8"/>
      <c r="W127" s="8"/>
      <c r="X127" s="8"/>
      <c r="Y127" s="8"/>
      <c r="Z127" s="8"/>
    </row>
    <row r="128" ht="12.0" customHeight="1">
      <c r="A128" s="11" t="s">
        <v>149</v>
      </c>
      <c r="B128" s="12"/>
      <c r="C128" s="13"/>
      <c r="D128" s="12"/>
      <c r="E128" s="12"/>
      <c r="F128" s="8"/>
      <c r="G128" s="8"/>
      <c r="H128" s="8"/>
      <c r="I128" s="8"/>
      <c r="J128" s="8"/>
      <c r="K128" s="8"/>
      <c r="L128" s="8"/>
      <c r="M128" s="8"/>
      <c r="N128" s="8"/>
      <c r="O128" s="8"/>
      <c r="P128" s="8"/>
      <c r="Q128" s="8"/>
      <c r="R128" s="8"/>
      <c r="S128" s="8"/>
      <c r="T128" s="8"/>
      <c r="U128" s="8"/>
      <c r="V128" s="8"/>
      <c r="W128" s="8"/>
      <c r="X128" s="8"/>
      <c r="Y128" s="8"/>
      <c r="Z128" s="8"/>
    </row>
    <row r="129" ht="12.0" customHeight="1">
      <c r="A129" s="11" t="s">
        <v>150</v>
      </c>
      <c r="B129" s="12"/>
      <c r="C129" s="13"/>
      <c r="D129" s="12"/>
      <c r="E129" s="12"/>
      <c r="F129" s="8"/>
      <c r="G129" s="8"/>
      <c r="H129" s="8"/>
      <c r="I129" s="8"/>
      <c r="J129" s="8"/>
      <c r="K129" s="8"/>
      <c r="L129" s="8"/>
      <c r="M129" s="8"/>
      <c r="N129" s="8"/>
      <c r="O129" s="8"/>
      <c r="P129" s="8"/>
      <c r="Q129" s="8"/>
      <c r="R129" s="8"/>
      <c r="S129" s="8"/>
      <c r="T129" s="8"/>
      <c r="U129" s="8"/>
      <c r="V129" s="8"/>
      <c r="W129" s="8"/>
      <c r="X129" s="8"/>
      <c r="Y129" s="8"/>
      <c r="Z129" s="8"/>
    </row>
    <row r="130" ht="12.75" customHeight="1">
      <c r="A130" s="11" t="s">
        <v>151</v>
      </c>
      <c r="B130" s="12">
        <v>1992.0</v>
      </c>
      <c r="C130" s="13"/>
      <c r="D130" s="12"/>
      <c r="E130" s="12"/>
      <c r="F130" s="8"/>
      <c r="G130" s="8"/>
      <c r="H130" s="8"/>
      <c r="I130" s="8"/>
      <c r="J130" s="8"/>
      <c r="K130" s="8"/>
      <c r="L130" s="8"/>
      <c r="M130" s="8"/>
      <c r="N130" s="8"/>
      <c r="O130" s="8"/>
      <c r="P130" s="8"/>
      <c r="Q130" s="8"/>
      <c r="R130" s="8"/>
      <c r="S130" s="8"/>
      <c r="T130" s="8"/>
      <c r="U130" s="8"/>
      <c r="V130" s="8"/>
      <c r="W130" s="8"/>
      <c r="X130" s="8"/>
      <c r="Y130" s="8"/>
      <c r="Z130" s="8"/>
    </row>
    <row r="131" ht="12.0" customHeight="1">
      <c r="A131" s="11" t="s">
        <v>152</v>
      </c>
      <c r="B131" s="12">
        <v>1988.0</v>
      </c>
      <c r="C131" s="13"/>
      <c r="D131" s="12"/>
      <c r="E131" s="12"/>
      <c r="F131" s="8"/>
      <c r="G131" s="8"/>
      <c r="H131" s="8"/>
      <c r="I131" s="8"/>
      <c r="J131" s="8"/>
      <c r="K131" s="8"/>
      <c r="L131" s="8"/>
      <c r="M131" s="8"/>
      <c r="N131" s="8"/>
      <c r="O131" s="8"/>
      <c r="P131" s="8"/>
      <c r="Q131" s="8"/>
      <c r="R131" s="8"/>
      <c r="S131" s="8"/>
      <c r="T131" s="8"/>
      <c r="U131" s="8"/>
      <c r="V131" s="8"/>
      <c r="W131" s="8"/>
      <c r="X131" s="8"/>
      <c r="Y131" s="8"/>
      <c r="Z131" s="8"/>
    </row>
    <row r="132" ht="12.0" customHeight="1">
      <c r="A132" s="8" t="s">
        <v>153</v>
      </c>
      <c r="B132" s="12"/>
      <c r="C132" s="13"/>
      <c r="D132" s="12"/>
      <c r="E132" s="12"/>
      <c r="F132" s="8"/>
      <c r="G132" s="8"/>
      <c r="H132" s="8"/>
      <c r="I132" s="8"/>
      <c r="J132" s="8"/>
      <c r="K132" s="8"/>
      <c r="L132" s="8"/>
      <c r="M132" s="8"/>
      <c r="N132" s="8"/>
      <c r="O132" s="8"/>
      <c r="P132" s="8"/>
      <c r="Q132" s="8"/>
      <c r="R132" s="8"/>
      <c r="S132" s="8"/>
      <c r="T132" s="8"/>
      <c r="U132" s="8"/>
      <c r="V132" s="8"/>
      <c r="W132" s="8"/>
      <c r="X132" s="8"/>
      <c r="Y132" s="8"/>
      <c r="Z132" s="8"/>
    </row>
    <row r="133" ht="12.0" customHeight="1">
      <c r="A133" s="8" t="s">
        <v>154</v>
      </c>
      <c r="B133" s="12"/>
      <c r="C133" s="13"/>
      <c r="D133" s="12"/>
      <c r="E133" s="12"/>
      <c r="F133" s="8"/>
      <c r="G133" s="8"/>
      <c r="H133" s="8"/>
      <c r="I133" s="8"/>
      <c r="J133" s="8"/>
      <c r="K133" s="8"/>
      <c r="L133" s="8"/>
      <c r="M133" s="8"/>
      <c r="N133" s="8"/>
      <c r="O133" s="8"/>
      <c r="P133" s="8"/>
      <c r="Q133" s="8"/>
      <c r="R133" s="8"/>
      <c r="S133" s="8"/>
      <c r="T133" s="8"/>
      <c r="U133" s="8"/>
      <c r="V133" s="8"/>
      <c r="W133" s="8"/>
      <c r="X133" s="8"/>
      <c r="Y133" s="8"/>
      <c r="Z133" s="8"/>
    </row>
    <row r="134" ht="12.0" customHeight="1">
      <c r="A134" s="11" t="s">
        <v>155</v>
      </c>
      <c r="B134" s="12">
        <v>1990.0</v>
      </c>
      <c r="C134" s="13"/>
      <c r="D134" s="12"/>
      <c r="E134" s="12"/>
      <c r="F134" s="8"/>
      <c r="G134" s="8"/>
      <c r="H134" s="8"/>
      <c r="I134" s="8"/>
      <c r="J134" s="8"/>
      <c r="K134" s="8"/>
      <c r="L134" s="8"/>
      <c r="M134" s="8"/>
      <c r="N134" s="8"/>
      <c r="O134" s="8"/>
      <c r="P134" s="8"/>
      <c r="Q134" s="8"/>
      <c r="R134" s="8"/>
      <c r="S134" s="8"/>
      <c r="T134" s="8"/>
      <c r="U134" s="8"/>
      <c r="V134" s="8"/>
      <c r="W134" s="8"/>
      <c r="X134" s="8"/>
      <c r="Y134" s="8"/>
      <c r="Z134" s="8"/>
    </row>
    <row r="135" ht="12.0" customHeight="1">
      <c r="A135" s="11" t="s">
        <v>156</v>
      </c>
      <c r="B135" s="12"/>
      <c r="C135" s="13"/>
      <c r="D135" s="12"/>
      <c r="E135" s="12"/>
      <c r="F135" s="8"/>
      <c r="G135" s="8"/>
      <c r="H135" s="8"/>
      <c r="I135" s="8"/>
      <c r="J135" s="8"/>
      <c r="K135" s="8"/>
      <c r="L135" s="8"/>
      <c r="M135" s="8"/>
      <c r="N135" s="8"/>
      <c r="O135" s="8"/>
      <c r="P135" s="8"/>
      <c r="Q135" s="8"/>
      <c r="R135" s="8"/>
      <c r="S135" s="8"/>
      <c r="T135" s="8"/>
      <c r="U135" s="8"/>
      <c r="V135" s="8"/>
      <c r="W135" s="8"/>
      <c r="X135" s="8"/>
      <c r="Y135" s="8"/>
      <c r="Z135" s="8"/>
    </row>
    <row r="136" ht="12.0" customHeight="1">
      <c r="A136" s="11" t="s">
        <v>157</v>
      </c>
      <c r="B136" s="12">
        <v>1998.0</v>
      </c>
      <c r="C136" s="13"/>
      <c r="D136" s="12"/>
      <c r="E136" s="12"/>
      <c r="F136" s="8"/>
      <c r="G136" s="8"/>
      <c r="H136" s="8"/>
      <c r="I136" s="8"/>
      <c r="J136" s="8"/>
      <c r="K136" s="8"/>
      <c r="L136" s="8"/>
      <c r="M136" s="8"/>
      <c r="N136" s="8"/>
      <c r="O136" s="8"/>
      <c r="P136" s="8"/>
      <c r="Q136" s="8"/>
      <c r="R136" s="8"/>
      <c r="S136" s="8"/>
      <c r="T136" s="8"/>
      <c r="U136" s="8"/>
      <c r="V136" s="8"/>
      <c r="W136" s="8"/>
      <c r="X136" s="8"/>
      <c r="Y136" s="8"/>
      <c r="Z136" s="8"/>
    </row>
    <row r="137" ht="12.0" customHeight="1">
      <c r="A137" s="11" t="s">
        <v>158</v>
      </c>
      <c r="B137" s="12" t="s">
        <v>159</v>
      </c>
      <c r="C137" s="13"/>
      <c r="D137" s="12"/>
      <c r="E137" s="12"/>
      <c r="F137" s="8"/>
      <c r="G137" s="8"/>
      <c r="H137" s="8"/>
      <c r="I137" s="8"/>
      <c r="J137" s="8"/>
      <c r="K137" s="8"/>
      <c r="L137" s="8"/>
      <c r="M137" s="8"/>
      <c r="N137" s="8"/>
      <c r="O137" s="8"/>
      <c r="P137" s="8"/>
      <c r="Q137" s="8"/>
      <c r="R137" s="8"/>
      <c r="S137" s="8"/>
      <c r="T137" s="8"/>
      <c r="U137" s="8"/>
      <c r="V137" s="8"/>
      <c r="W137" s="8"/>
      <c r="X137" s="8"/>
      <c r="Y137" s="8"/>
      <c r="Z137" s="8"/>
    </row>
    <row r="138" ht="12.0" customHeight="1">
      <c r="A138" s="11" t="s">
        <v>160</v>
      </c>
      <c r="B138" s="12"/>
      <c r="C138" s="13"/>
      <c r="D138" s="12"/>
      <c r="E138" s="12"/>
      <c r="F138" s="8"/>
      <c r="G138" s="8"/>
      <c r="H138" s="8"/>
      <c r="I138" s="8"/>
      <c r="J138" s="8"/>
      <c r="K138" s="8"/>
      <c r="L138" s="8"/>
      <c r="M138" s="8"/>
      <c r="N138" s="8"/>
      <c r="O138" s="8"/>
      <c r="P138" s="8"/>
      <c r="Q138" s="8"/>
      <c r="R138" s="8"/>
      <c r="S138" s="8"/>
      <c r="T138" s="8"/>
      <c r="U138" s="8"/>
      <c r="V138" s="8"/>
      <c r="W138" s="8"/>
      <c r="X138" s="8"/>
      <c r="Y138" s="8"/>
      <c r="Z138" s="8"/>
    </row>
    <row r="139" ht="12.0" customHeight="1">
      <c r="A139" s="11" t="s">
        <v>161</v>
      </c>
      <c r="B139" s="12"/>
      <c r="C139" s="13"/>
      <c r="D139" s="12"/>
      <c r="E139" s="12"/>
      <c r="F139" s="8"/>
      <c r="G139" s="8"/>
      <c r="H139" s="8"/>
      <c r="I139" s="8"/>
      <c r="J139" s="8"/>
      <c r="K139" s="8"/>
      <c r="L139" s="8"/>
      <c r="M139" s="8"/>
      <c r="N139" s="8"/>
      <c r="O139" s="8"/>
      <c r="P139" s="8"/>
      <c r="Q139" s="8"/>
      <c r="R139" s="8"/>
      <c r="S139" s="8"/>
      <c r="T139" s="8"/>
      <c r="U139" s="8"/>
      <c r="V139" s="8"/>
      <c r="W139" s="8"/>
      <c r="X139" s="8"/>
      <c r="Y139" s="8"/>
      <c r="Z139" s="8"/>
    </row>
    <row r="140" ht="12.0" customHeight="1">
      <c r="A140" s="11" t="s">
        <v>162</v>
      </c>
      <c r="B140" s="12" t="s">
        <v>163</v>
      </c>
      <c r="C140" s="13"/>
      <c r="D140" s="12"/>
      <c r="E140" s="12"/>
      <c r="F140" s="8"/>
      <c r="G140" s="8"/>
      <c r="H140" s="8"/>
      <c r="I140" s="8"/>
      <c r="J140" s="8"/>
      <c r="K140" s="8"/>
      <c r="L140" s="8"/>
      <c r="M140" s="8"/>
      <c r="N140" s="8"/>
      <c r="O140" s="8"/>
      <c r="P140" s="8"/>
      <c r="Q140" s="8"/>
      <c r="R140" s="8"/>
      <c r="S140" s="8"/>
      <c r="T140" s="8"/>
      <c r="U140" s="8"/>
      <c r="V140" s="8"/>
      <c r="W140" s="8"/>
      <c r="X140" s="8"/>
      <c r="Y140" s="8"/>
      <c r="Z140" s="8"/>
    </row>
    <row r="141" ht="12.0" customHeight="1">
      <c r="A141" s="11" t="s">
        <v>164</v>
      </c>
      <c r="B141" s="12">
        <v>1989.0</v>
      </c>
      <c r="C141" s="13"/>
      <c r="D141" s="12"/>
      <c r="E141" s="12"/>
      <c r="F141" s="8"/>
      <c r="G141" s="8"/>
      <c r="H141" s="8"/>
      <c r="I141" s="8"/>
      <c r="J141" s="8"/>
      <c r="K141" s="8"/>
      <c r="L141" s="8"/>
      <c r="M141" s="8"/>
      <c r="N141" s="8"/>
      <c r="O141" s="8"/>
      <c r="P141" s="8"/>
      <c r="Q141" s="8"/>
      <c r="R141" s="8"/>
      <c r="S141" s="8"/>
      <c r="T141" s="8"/>
      <c r="U141" s="8"/>
      <c r="V141" s="8"/>
      <c r="W141" s="8"/>
      <c r="X141" s="8"/>
      <c r="Y141" s="8"/>
      <c r="Z141" s="8"/>
    </row>
    <row r="142" ht="12.0" customHeight="1">
      <c r="A142" s="8" t="s">
        <v>165</v>
      </c>
      <c r="B142" s="13"/>
      <c r="C142" s="13"/>
      <c r="D142" s="12"/>
      <c r="E142" s="12"/>
      <c r="F142" s="8"/>
      <c r="G142" s="8"/>
      <c r="H142" s="8"/>
      <c r="I142" s="8"/>
      <c r="J142" s="8"/>
      <c r="K142" s="8"/>
      <c r="L142" s="8"/>
      <c r="M142" s="8"/>
      <c r="N142" s="8"/>
      <c r="O142" s="8"/>
      <c r="P142" s="8"/>
      <c r="Q142" s="8"/>
      <c r="R142" s="8"/>
      <c r="S142" s="8"/>
      <c r="T142" s="8"/>
      <c r="U142" s="8"/>
      <c r="V142" s="8"/>
      <c r="W142" s="8"/>
      <c r="X142" s="8"/>
      <c r="Y142" s="8"/>
      <c r="Z142" s="8"/>
    </row>
    <row r="143" ht="12.0" customHeight="1">
      <c r="A143" s="8" t="s">
        <v>166</v>
      </c>
      <c r="B143" s="13"/>
      <c r="C143" s="13"/>
      <c r="D143" s="12"/>
      <c r="E143" s="12"/>
      <c r="F143" s="8"/>
      <c r="G143" s="8"/>
      <c r="H143" s="8"/>
      <c r="I143" s="8"/>
      <c r="J143" s="8"/>
      <c r="K143" s="8"/>
      <c r="L143" s="8"/>
      <c r="M143" s="8"/>
      <c r="N143" s="8"/>
      <c r="O143" s="8"/>
      <c r="P143" s="8"/>
      <c r="Q143" s="8"/>
      <c r="R143" s="8"/>
      <c r="S143" s="8"/>
      <c r="T143" s="8"/>
      <c r="U143" s="8"/>
      <c r="V143" s="8"/>
      <c r="W143" s="8"/>
      <c r="X143" s="8"/>
      <c r="Y143" s="8"/>
      <c r="Z143" s="8"/>
    </row>
    <row r="144" ht="12.0" customHeight="1">
      <c r="A144" s="11" t="s">
        <v>167</v>
      </c>
      <c r="B144" s="12">
        <v>1995.0</v>
      </c>
      <c r="C144" s="13"/>
      <c r="D144" s="12"/>
      <c r="E144" s="12"/>
      <c r="F144" s="8"/>
      <c r="G144" s="8"/>
      <c r="H144" s="8"/>
      <c r="I144" s="8"/>
      <c r="J144" s="8"/>
      <c r="K144" s="8"/>
      <c r="L144" s="8"/>
      <c r="M144" s="8"/>
      <c r="N144" s="8"/>
      <c r="O144" s="8"/>
      <c r="P144" s="8"/>
      <c r="Q144" s="8"/>
      <c r="R144" s="8"/>
      <c r="S144" s="8"/>
      <c r="T144" s="8"/>
      <c r="U144" s="8"/>
      <c r="V144" s="8"/>
      <c r="W144" s="8"/>
      <c r="X144" s="8"/>
      <c r="Y144" s="8"/>
      <c r="Z144" s="8"/>
    </row>
    <row r="145" ht="12.0" customHeight="1">
      <c r="A145" s="11" t="s">
        <v>168</v>
      </c>
      <c r="B145" s="12" t="s">
        <v>85</v>
      </c>
      <c r="C145" s="13"/>
      <c r="D145" s="12"/>
      <c r="E145" s="12"/>
      <c r="F145" s="8"/>
      <c r="G145" s="8"/>
      <c r="H145" s="8"/>
      <c r="I145" s="8"/>
      <c r="J145" s="8"/>
      <c r="K145" s="8"/>
      <c r="L145" s="8"/>
      <c r="M145" s="8"/>
      <c r="N145" s="8"/>
      <c r="O145" s="8"/>
      <c r="P145" s="8"/>
      <c r="Q145" s="8"/>
      <c r="R145" s="8"/>
      <c r="S145" s="8"/>
      <c r="T145" s="8"/>
      <c r="U145" s="8"/>
      <c r="V145" s="8"/>
      <c r="W145" s="8"/>
      <c r="X145" s="8"/>
      <c r="Y145" s="8"/>
      <c r="Z145" s="8"/>
    </row>
    <row r="146" ht="12.0" customHeight="1">
      <c r="A146" s="11" t="s">
        <v>169</v>
      </c>
      <c r="B146" s="13"/>
      <c r="C146" s="13"/>
      <c r="D146" s="12"/>
      <c r="E146" s="12"/>
      <c r="F146" s="8"/>
      <c r="G146" s="8"/>
      <c r="H146" s="8"/>
      <c r="I146" s="8"/>
      <c r="J146" s="8"/>
      <c r="K146" s="8"/>
      <c r="L146" s="8"/>
      <c r="M146" s="8"/>
      <c r="N146" s="8"/>
      <c r="O146" s="8"/>
      <c r="P146" s="8"/>
      <c r="Q146" s="8"/>
      <c r="R146" s="8"/>
      <c r="S146" s="8"/>
      <c r="T146" s="8"/>
      <c r="U146" s="8"/>
      <c r="V146" s="8"/>
      <c r="W146" s="8"/>
      <c r="X146" s="8"/>
      <c r="Y146" s="8"/>
      <c r="Z146" s="8"/>
    </row>
    <row r="147" ht="12.0" customHeight="1">
      <c r="A147" s="11" t="s">
        <v>170</v>
      </c>
      <c r="B147" s="13">
        <v>2008.0</v>
      </c>
      <c r="C147" s="13"/>
      <c r="D147" s="12"/>
      <c r="E147" s="12"/>
      <c r="F147" s="8"/>
      <c r="G147" s="8"/>
      <c r="H147" s="8"/>
      <c r="I147" s="8"/>
      <c r="J147" s="8"/>
      <c r="K147" s="8"/>
      <c r="L147" s="8"/>
      <c r="M147" s="8"/>
      <c r="N147" s="8"/>
      <c r="O147" s="8"/>
      <c r="P147" s="8"/>
      <c r="Q147" s="8"/>
      <c r="R147" s="8"/>
      <c r="S147" s="8"/>
      <c r="T147" s="8"/>
      <c r="U147" s="8"/>
      <c r="V147" s="8"/>
      <c r="W147" s="8"/>
      <c r="X147" s="8"/>
      <c r="Y147" s="8"/>
      <c r="Z147" s="8"/>
    </row>
    <row r="148" ht="12.0" customHeight="1">
      <c r="A148" s="11" t="s">
        <v>171</v>
      </c>
      <c r="B148" s="12"/>
      <c r="C148" s="13"/>
      <c r="D148" s="12"/>
      <c r="E148" s="12"/>
      <c r="F148" s="8"/>
      <c r="G148" s="8"/>
      <c r="H148" s="8"/>
      <c r="I148" s="8"/>
      <c r="J148" s="8"/>
      <c r="K148" s="8"/>
      <c r="L148" s="8"/>
      <c r="M148" s="8"/>
      <c r="N148" s="8"/>
      <c r="O148" s="8"/>
      <c r="P148" s="8"/>
      <c r="Q148" s="8"/>
      <c r="R148" s="8"/>
      <c r="S148" s="8"/>
      <c r="T148" s="8"/>
      <c r="U148" s="8"/>
      <c r="V148" s="8"/>
      <c r="W148" s="8"/>
      <c r="X148" s="8"/>
      <c r="Y148" s="8"/>
      <c r="Z148" s="8"/>
    </row>
    <row r="149" ht="12.0" customHeight="1">
      <c r="A149" s="11" t="s">
        <v>172</v>
      </c>
      <c r="B149" s="12">
        <v>1987.0</v>
      </c>
      <c r="C149" s="13"/>
      <c r="D149" s="12"/>
      <c r="E149" s="12"/>
      <c r="F149" s="8"/>
      <c r="G149" s="8"/>
      <c r="H149" s="8"/>
      <c r="I149" s="8"/>
      <c r="J149" s="8"/>
      <c r="K149" s="8"/>
      <c r="L149" s="8"/>
      <c r="M149" s="8"/>
      <c r="N149" s="8"/>
      <c r="O149" s="8"/>
      <c r="P149" s="8"/>
      <c r="Q149" s="8"/>
      <c r="R149" s="8"/>
      <c r="S149" s="8"/>
      <c r="T149" s="8"/>
      <c r="U149" s="8"/>
      <c r="V149" s="8"/>
      <c r="W149" s="8"/>
      <c r="X149" s="8"/>
      <c r="Y149" s="8"/>
      <c r="Z149" s="8"/>
    </row>
    <row r="150" ht="12.0" customHeight="1">
      <c r="A150" s="11" t="s">
        <v>173</v>
      </c>
      <c r="B150" s="12" t="s">
        <v>143</v>
      </c>
      <c r="C150" s="13"/>
      <c r="D150" s="12"/>
      <c r="E150" s="12"/>
      <c r="F150" s="8"/>
      <c r="G150" s="8"/>
      <c r="H150" s="8"/>
      <c r="I150" s="8"/>
      <c r="J150" s="8"/>
      <c r="K150" s="8"/>
      <c r="L150" s="8"/>
      <c r="M150" s="8"/>
      <c r="N150" s="8"/>
      <c r="O150" s="8"/>
      <c r="P150" s="8"/>
      <c r="Q150" s="8"/>
      <c r="R150" s="8"/>
      <c r="S150" s="8"/>
      <c r="T150" s="8"/>
      <c r="U150" s="8"/>
      <c r="V150" s="8"/>
      <c r="W150" s="8"/>
      <c r="X150" s="8"/>
      <c r="Y150" s="8"/>
      <c r="Z150" s="8"/>
    </row>
    <row r="151" ht="12.0" customHeight="1">
      <c r="A151" s="11" t="s">
        <v>174</v>
      </c>
      <c r="B151" s="12">
        <v>1993.0</v>
      </c>
      <c r="C151" s="13"/>
      <c r="D151" s="12"/>
      <c r="E151" s="12"/>
      <c r="F151" s="8"/>
      <c r="G151" s="8"/>
      <c r="H151" s="8"/>
      <c r="I151" s="8"/>
      <c r="J151" s="8"/>
      <c r="K151" s="8"/>
      <c r="L151" s="8"/>
      <c r="M151" s="8"/>
      <c r="N151" s="8"/>
      <c r="O151" s="8"/>
      <c r="P151" s="8"/>
      <c r="Q151" s="8"/>
      <c r="R151" s="8"/>
      <c r="S151" s="8"/>
      <c r="T151" s="8"/>
      <c r="U151" s="8"/>
      <c r="V151" s="8"/>
      <c r="W151" s="8"/>
      <c r="X151" s="8"/>
      <c r="Y151" s="8"/>
      <c r="Z151" s="8"/>
    </row>
    <row r="152" ht="12.0" customHeight="1">
      <c r="A152" s="11" t="s">
        <v>175</v>
      </c>
      <c r="B152" s="12"/>
      <c r="C152" s="13"/>
      <c r="D152" s="12"/>
      <c r="E152" s="12"/>
      <c r="F152" s="8"/>
      <c r="G152" s="8"/>
      <c r="H152" s="8"/>
      <c r="I152" s="8"/>
      <c r="J152" s="8"/>
      <c r="K152" s="8"/>
      <c r="L152" s="8"/>
      <c r="M152" s="8"/>
      <c r="N152" s="8"/>
      <c r="O152" s="8"/>
      <c r="P152" s="8"/>
      <c r="Q152" s="8"/>
      <c r="R152" s="8"/>
      <c r="S152" s="8"/>
      <c r="T152" s="8"/>
      <c r="U152" s="8"/>
      <c r="V152" s="8"/>
      <c r="W152" s="8"/>
      <c r="X152" s="8"/>
      <c r="Y152" s="8"/>
      <c r="Z152" s="8"/>
    </row>
    <row r="153" ht="12.0" customHeight="1">
      <c r="A153" s="11" t="s">
        <v>176</v>
      </c>
      <c r="B153" s="12">
        <v>1991.0</v>
      </c>
      <c r="C153" s="13"/>
      <c r="D153" s="12"/>
      <c r="E153" s="12"/>
      <c r="F153" s="8"/>
      <c r="G153" s="8"/>
      <c r="H153" s="8"/>
      <c r="I153" s="8"/>
      <c r="J153" s="8"/>
      <c r="K153" s="8"/>
      <c r="L153" s="8"/>
      <c r="M153" s="8"/>
      <c r="N153" s="8"/>
      <c r="O153" s="8"/>
      <c r="P153" s="8"/>
      <c r="Q153" s="8"/>
      <c r="R153" s="8"/>
      <c r="S153" s="8"/>
      <c r="T153" s="8"/>
      <c r="U153" s="8"/>
      <c r="V153" s="8"/>
      <c r="W153" s="8"/>
      <c r="X153" s="8"/>
      <c r="Y153" s="8"/>
      <c r="Z153" s="8"/>
    </row>
    <row r="154" ht="12.0" customHeight="1">
      <c r="A154" s="11" t="s">
        <v>177</v>
      </c>
      <c r="B154" s="12" t="s">
        <v>178</v>
      </c>
      <c r="C154" s="13"/>
      <c r="D154" s="12"/>
      <c r="E154" s="12"/>
      <c r="F154" s="8"/>
      <c r="G154" s="8"/>
      <c r="H154" s="8"/>
      <c r="I154" s="8"/>
      <c r="J154" s="8"/>
      <c r="K154" s="8"/>
      <c r="L154" s="8"/>
      <c r="M154" s="8"/>
      <c r="N154" s="8"/>
      <c r="O154" s="8"/>
      <c r="P154" s="8"/>
      <c r="Q154" s="8"/>
      <c r="R154" s="8"/>
      <c r="S154" s="8"/>
      <c r="T154" s="8"/>
      <c r="U154" s="8"/>
      <c r="V154" s="8"/>
      <c r="W154" s="8"/>
      <c r="X154" s="8"/>
      <c r="Y154" s="8"/>
      <c r="Z154" s="8"/>
    </row>
    <row r="155" ht="12.0" customHeight="1">
      <c r="A155" s="8" t="s">
        <v>179</v>
      </c>
      <c r="B155" s="12"/>
      <c r="C155" s="13"/>
      <c r="D155" s="12"/>
      <c r="E155" s="12"/>
      <c r="F155" s="8"/>
      <c r="G155" s="8"/>
      <c r="H155" s="8"/>
      <c r="I155" s="8"/>
      <c r="J155" s="8"/>
      <c r="K155" s="8"/>
      <c r="L155" s="8"/>
      <c r="M155" s="8"/>
      <c r="N155" s="8"/>
      <c r="O155" s="8"/>
      <c r="P155" s="8"/>
      <c r="Q155" s="8"/>
      <c r="R155" s="8"/>
      <c r="S155" s="8"/>
      <c r="T155" s="8"/>
      <c r="U155" s="8"/>
      <c r="V155" s="8"/>
      <c r="W155" s="8"/>
      <c r="X155" s="8"/>
      <c r="Y155" s="8"/>
      <c r="Z155" s="8"/>
    </row>
    <row r="156" ht="12.0" customHeight="1">
      <c r="A156" s="11" t="s">
        <v>180</v>
      </c>
      <c r="B156" s="12">
        <v>1994.0</v>
      </c>
      <c r="C156" s="13"/>
      <c r="D156" s="12"/>
      <c r="E156" s="12"/>
      <c r="F156" s="8"/>
      <c r="G156" s="8"/>
      <c r="H156" s="8"/>
      <c r="I156" s="8"/>
      <c r="J156" s="8"/>
      <c r="K156" s="8"/>
      <c r="L156" s="8"/>
      <c r="M156" s="8"/>
      <c r="N156" s="8"/>
      <c r="O156" s="8"/>
      <c r="P156" s="8"/>
      <c r="Q156" s="8"/>
      <c r="R156" s="8"/>
      <c r="S156" s="8"/>
      <c r="T156" s="8"/>
      <c r="U156" s="8"/>
      <c r="V156" s="8"/>
      <c r="W156" s="8"/>
      <c r="X156" s="8"/>
      <c r="Y156" s="8"/>
      <c r="Z156" s="8"/>
    </row>
    <row r="157" ht="12.0" customHeight="1">
      <c r="A157" s="11" t="s">
        <v>181</v>
      </c>
      <c r="B157" s="12" t="s">
        <v>182</v>
      </c>
      <c r="C157" s="13"/>
      <c r="D157" s="12"/>
      <c r="E157" s="12"/>
      <c r="F157" s="8"/>
      <c r="G157" s="8"/>
      <c r="H157" s="8"/>
      <c r="I157" s="8"/>
      <c r="J157" s="8"/>
      <c r="K157" s="8"/>
      <c r="L157" s="8"/>
      <c r="M157" s="8"/>
      <c r="N157" s="8"/>
      <c r="O157" s="8"/>
      <c r="P157" s="8"/>
      <c r="Q157" s="8"/>
      <c r="R157" s="8"/>
      <c r="S157" s="8"/>
      <c r="T157" s="8"/>
      <c r="U157" s="8"/>
      <c r="V157" s="8"/>
      <c r="W157" s="8"/>
      <c r="X157" s="8"/>
      <c r="Y157" s="8"/>
      <c r="Z157" s="8"/>
    </row>
    <row r="158" ht="12.0" customHeight="1">
      <c r="A158" s="11" t="s">
        <v>183</v>
      </c>
      <c r="B158" s="12">
        <v>2007.0</v>
      </c>
      <c r="C158" s="13"/>
      <c r="D158" s="12"/>
      <c r="E158" s="12"/>
      <c r="F158" s="8"/>
      <c r="G158" s="8"/>
      <c r="H158" s="8"/>
      <c r="I158" s="8"/>
      <c r="J158" s="8"/>
      <c r="K158" s="8"/>
      <c r="L158" s="8"/>
      <c r="M158" s="8"/>
      <c r="N158" s="8"/>
      <c r="O158" s="8"/>
      <c r="P158" s="8"/>
      <c r="Q158" s="8"/>
      <c r="R158" s="8"/>
      <c r="S158" s="8"/>
      <c r="T158" s="8"/>
      <c r="U158" s="8"/>
      <c r="V158" s="8"/>
      <c r="W158" s="8"/>
      <c r="X158" s="8"/>
      <c r="Y158" s="8"/>
      <c r="Z158" s="8"/>
    </row>
    <row r="159" ht="12.0" customHeight="1">
      <c r="A159" s="11" t="s">
        <v>184</v>
      </c>
      <c r="B159" s="12" t="s">
        <v>185</v>
      </c>
      <c r="C159" s="13"/>
      <c r="D159" s="12"/>
      <c r="E159" s="12"/>
      <c r="F159" s="8"/>
      <c r="G159" s="8"/>
      <c r="H159" s="8"/>
      <c r="I159" s="8"/>
      <c r="J159" s="8"/>
      <c r="K159" s="8"/>
      <c r="L159" s="8"/>
      <c r="M159" s="8"/>
      <c r="N159" s="8"/>
      <c r="O159" s="8"/>
      <c r="P159" s="8"/>
      <c r="Q159" s="8"/>
      <c r="R159" s="8"/>
      <c r="S159" s="8"/>
      <c r="T159" s="8"/>
      <c r="U159" s="8"/>
      <c r="V159" s="8"/>
      <c r="W159" s="8"/>
      <c r="X159" s="8"/>
      <c r="Y159" s="8"/>
      <c r="Z159" s="8"/>
    </row>
    <row r="160" ht="12.0" customHeight="1">
      <c r="A160" s="11" t="s">
        <v>186</v>
      </c>
      <c r="B160" s="12" t="s">
        <v>187</v>
      </c>
      <c r="C160" s="13"/>
      <c r="D160" s="12"/>
      <c r="E160" s="12"/>
      <c r="F160" s="8"/>
      <c r="G160" s="8"/>
      <c r="H160" s="8"/>
      <c r="I160" s="8"/>
      <c r="J160" s="8"/>
      <c r="K160" s="8"/>
      <c r="L160" s="8"/>
      <c r="M160" s="8"/>
      <c r="N160" s="8"/>
      <c r="O160" s="8"/>
      <c r="P160" s="8"/>
      <c r="Q160" s="8"/>
      <c r="R160" s="8"/>
      <c r="S160" s="8"/>
      <c r="T160" s="8"/>
      <c r="U160" s="8"/>
      <c r="V160" s="8"/>
      <c r="W160" s="8"/>
      <c r="X160" s="8"/>
      <c r="Y160" s="8"/>
      <c r="Z160" s="8"/>
    </row>
    <row r="161" ht="12.0" customHeight="1">
      <c r="A161" s="8" t="s">
        <v>188</v>
      </c>
      <c r="B161" s="13"/>
      <c r="C161" s="13"/>
      <c r="D161" s="12"/>
      <c r="E161" s="12"/>
      <c r="F161" s="8"/>
      <c r="G161" s="8"/>
      <c r="H161" s="8"/>
      <c r="I161" s="8"/>
      <c r="J161" s="8"/>
      <c r="K161" s="8"/>
      <c r="L161" s="8"/>
      <c r="M161" s="8"/>
      <c r="N161" s="8"/>
      <c r="O161" s="8"/>
      <c r="P161" s="8"/>
      <c r="Q161" s="8"/>
      <c r="R161" s="8"/>
      <c r="S161" s="8"/>
      <c r="T161" s="8"/>
      <c r="U161" s="8"/>
      <c r="V161" s="8"/>
      <c r="W161" s="8"/>
      <c r="X161" s="8"/>
      <c r="Y161" s="8"/>
      <c r="Z161" s="8"/>
    </row>
    <row r="162" ht="12.0" customHeight="1">
      <c r="A162" s="11" t="s">
        <v>189</v>
      </c>
      <c r="B162" s="12">
        <v>1994.0</v>
      </c>
      <c r="C162" s="13"/>
      <c r="D162" s="12"/>
      <c r="E162" s="12"/>
      <c r="F162" s="8"/>
      <c r="G162" s="8"/>
      <c r="H162" s="8"/>
      <c r="I162" s="8"/>
      <c r="J162" s="8"/>
      <c r="K162" s="8"/>
      <c r="L162" s="8"/>
      <c r="M162" s="8"/>
      <c r="N162" s="8"/>
      <c r="O162" s="8"/>
      <c r="P162" s="8"/>
      <c r="Q162" s="8"/>
      <c r="R162" s="8"/>
      <c r="S162" s="8"/>
      <c r="T162" s="8"/>
      <c r="U162" s="8"/>
      <c r="V162" s="8"/>
      <c r="W162" s="8"/>
      <c r="X162" s="8"/>
      <c r="Y162" s="8"/>
      <c r="Z162" s="8"/>
    </row>
    <row r="163" ht="12.0" customHeight="1">
      <c r="A163" s="11" t="s">
        <v>190</v>
      </c>
      <c r="B163" s="12">
        <v>1997.0</v>
      </c>
      <c r="C163" s="13"/>
      <c r="D163" s="12"/>
      <c r="E163" s="12"/>
      <c r="F163" s="8"/>
      <c r="G163" s="8"/>
      <c r="H163" s="8"/>
      <c r="I163" s="8"/>
      <c r="J163" s="8"/>
      <c r="K163" s="8"/>
      <c r="L163" s="8"/>
      <c r="M163" s="8"/>
      <c r="N163" s="8"/>
      <c r="O163" s="8"/>
      <c r="P163" s="8"/>
      <c r="Q163" s="8"/>
      <c r="R163" s="8"/>
      <c r="S163" s="8"/>
      <c r="T163" s="8"/>
      <c r="U163" s="8"/>
      <c r="V163" s="8"/>
      <c r="W163" s="8"/>
      <c r="X163" s="8"/>
      <c r="Y163" s="8"/>
      <c r="Z163" s="8"/>
    </row>
    <row r="164" ht="12.0" customHeight="1">
      <c r="A164" s="11" t="s">
        <v>191</v>
      </c>
      <c r="B164" s="12">
        <v>1996.0</v>
      </c>
      <c r="C164" s="13"/>
      <c r="D164" s="12"/>
      <c r="E164" s="12"/>
      <c r="F164" s="8"/>
      <c r="G164" s="8"/>
      <c r="H164" s="8"/>
      <c r="I164" s="8"/>
      <c r="J164" s="8"/>
      <c r="K164" s="8"/>
      <c r="L164" s="8"/>
      <c r="M164" s="8"/>
      <c r="N164" s="8"/>
      <c r="O164" s="8"/>
      <c r="P164" s="8"/>
      <c r="Q164" s="8"/>
      <c r="R164" s="8"/>
      <c r="S164" s="8"/>
      <c r="T164" s="8"/>
      <c r="U164" s="8"/>
      <c r="V164" s="8"/>
      <c r="W164" s="8"/>
      <c r="X164" s="8"/>
      <c r="Y164" s="8"/>
      <c r="Z164" s="8"/>
    </row>
    <row r="165" ht="12.0" customHeight="1">
      <c r="A165" s="8" t="s">
        <v>192</v>
      </c>
      <c r="B165" s="13"/>
      <c r="C165" s="13"/>
      <c r="D165" s="12"/>
      <c r="E165" s="12"/>
      <c r="F165" s="8"/>
      <c r="G165" s="8"/>
      <c r="H165" s="8"/>
      <c r="I165" s="8"/>
      <c r="J165" s="8"/>
      <c r="K165" s="8"/>
      <c r="L165" s="8"/>
      <c r="M165" s="8"/>
      <c r="N165" s="8"/>
      <c r="O165" s="8"/>
      <c r="P165" s="8"/>
      <c r="Q165" s="8"/>
      <c r="R165" s="8"/>
      <c r="S165" s="8"/>
      <c r="T165" s="8"/>
      <c r="U165" s="8"/>
      <c r="V165" s="8"/>
      <c r="W165" s="8"/>
      <c r="X165" s="8"/>
      <c r="Y165" s="8"/>
      <c r="Z165" s="8"/>
    </row>
    <row r="166" ht="12.0" customHeight="1">
      <c r="A166" s="11" t="s">
        <v>193</v>
      </c>
      <c r="B166" s="12">
        <v>1995.0</v>
      </c>
      <c r="C166" s="13"/>
      <c r="D166" s="12"/>
      <c r="E166" s="12"/>
      <c r="F166" s="8"/>
      <c r="G166" s="8"/>
      <c r="H166" s="8"/>
      <c r="I166" s="8"/>
      <c r="J166" s="8"/>
      <c r="K166" s="8"/>
      <c r="L166" s="8"/>
      <c r="M166" s="8"/>
      <c r="N166" s="8"/>
      <c r="O166" s="8"/>
      <c r="P166" s="8"/>
      <c r="Q166" s="8"/>
      <c r="R166" s="8"/>
      <c r="S166" s="8"/>
      <c r="T166" s="8"/>
      <c r="U166" s="8"/>
      <c r="V166" s="8"/>
      <c r="W166" s="8"/>
      <c r="X166" s="8"/>
      <c r="Y166" s="8"/>
      <c r="Z166" s="8"/>
    </row>
    <row r="167" ht="12.0" customHeight="1">
      <c r="A167" s="15" t="s">
        <v>194</v>
      </c>
      <c r="B167" s="16">
        <v>1995.0</v>
      </c>
      <c r="C167" s="17"/>
      <c r="D167" s="16"/>
      <c r="E167" s="16"/>
      <c r="F167" s="8"/>
      <c r="G167" s="8"/>
      <c r="H167" s="8"/>
      <c r="I167" s="8"/>
      <c r="J167" s="8"/>
      <c r="K167" s="8"/>
      <c r="L167" s="8"/>
      <c r="M167" s="8"/>
      <c r="N167" s="8"/>
      <c r="O167" s="8"/>
      <c r="P167" s="8"/>
      <c r="Q167" s="8"/>
      <c r="R167" s="8"/>
      <c r="S167" s="8"/>
      <c r="T167" s="8"/>
      <c r="U167" s="8"/>
      <c r="V167" s="8"/>
      <c r="W167" s="8"/>
      <c r="X167" s="8"/>
      <c r="Y167" s="8"/>
      <c r="Z167" s="8"/>
    </row>
    <row r="168" ht="12.0"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0"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0"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0"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0"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0"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0"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0"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0"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0"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0"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0"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0"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0"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0"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0"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0"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0"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0"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0"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0"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0"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0"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0"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0"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0"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0"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0"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0"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0"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0"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0"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0"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0"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0"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0"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0"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0"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0"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0"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0"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0"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0"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0"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0"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0"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0"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0"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0"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0"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0"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0"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0"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0"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0"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0"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0"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0"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0"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0"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0"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0"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0"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0"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0"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0"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0"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0"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0"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0"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0"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0"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0"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0"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0"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0"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0"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0"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0"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0"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0"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0"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0"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0"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0"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0"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0"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0"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0"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0"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0"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0"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0"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0"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0"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0"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0"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0"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0"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0"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0"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0"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0"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0"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0"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0"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0"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0"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0"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0"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0"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0"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0"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0"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0"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0"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0"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0"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0"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0"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0"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0"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0"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0"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0"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0"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0"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0"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0"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0"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0"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0"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0"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0"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0"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0"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0"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0"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0"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0"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0"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0"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0"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0"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0"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0"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0"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0"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0"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0"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0"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0"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0"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0"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0"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0"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0"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0"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0"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0"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0"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0"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0"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0"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0"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0"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0"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0"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0"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0"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0"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0"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0"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0"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0"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0"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0"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0"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0"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0"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0"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0"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0"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0"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0"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0"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0"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0"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0"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0"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0"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0"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0"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0"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0"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0"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0"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0"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0"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0"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0"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0"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0"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0"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0"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0"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0"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0"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0"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0"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0"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0"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0"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0"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0"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0"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0"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0"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0"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0"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0"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0"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0"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0"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0"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0"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0"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0"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0"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0"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0"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0"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0"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0"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0"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0"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0"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0"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0"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0"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0"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0"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0"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0"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0"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0"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0"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0"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0"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0"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0"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0"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0"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0"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0"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0"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0"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0"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0"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0"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0"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0"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0"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0"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0"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0"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0"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0"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0"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0"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0"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0"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0"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0"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0"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0"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0"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0"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0"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0"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0"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0"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0"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0"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0"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0"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0"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0"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0"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0"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0"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0"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0"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0"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0"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0"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0"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0"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0"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0"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0"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0"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0"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0"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0"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0"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0"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0"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0"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0"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0"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0"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0"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0"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0"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0"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0"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0"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0"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0"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0"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0"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0"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0"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0"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0"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0"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0"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0"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0"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0"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0"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0"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0"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0"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0"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0"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0"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0"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0"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0"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0"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0"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0"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0"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0"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0"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0"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0"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0"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0"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0"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0"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0"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0"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0"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0"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0"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0"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0"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0"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0"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0"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0"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0"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0"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0"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0"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0"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0"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0"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0"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0"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0"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0"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0"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0"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0"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0"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0"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0"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0"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0"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0"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0"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0"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0"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0"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0"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0"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0"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0"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0"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0"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0"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0"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0"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0"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0"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0"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0"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0"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0"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0"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0"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0"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0"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0"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0"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0"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0"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0"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0"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0"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0"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0"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0"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0"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0"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0"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0"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0"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0"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0"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0"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0"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0"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0"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0"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0"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0"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0"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0"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0"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0"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0"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0"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0"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0"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0"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0"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0"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0"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0"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0"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0"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0"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0"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0"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0"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0"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0"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0"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0"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0"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0"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0"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0"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0"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0"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0"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0"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0"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0"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0"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0"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0"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0"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0"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0"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0"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0"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0"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0"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0"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0"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0"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0"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0"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0"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0"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0"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0"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0"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0"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0"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0"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0"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0"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0"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0"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0"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0"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0"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0"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0"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0"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0"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0"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0"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0"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0"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0"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0"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0"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0"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0"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0"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0"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0"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0"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0"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0"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0"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0"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0"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0"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0"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0"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0"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0"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0"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0"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0"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0"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0"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0"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0"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0"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0"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0"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0"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0"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0"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0"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0"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0"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0"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0"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0"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0"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0"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0"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0"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0"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0"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0"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0"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0"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0"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0"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0"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0"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0"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0"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0"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0"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0"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0"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0"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0"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0"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0"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0"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0"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0"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0"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0"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0"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0"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0"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0"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0"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0"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0"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0"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0"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0"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0"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0"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0"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0"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0"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0"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0"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0"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0"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0"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0"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0"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0"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0"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0"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0"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0"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0"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0"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0"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0"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0"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0"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0"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0"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0"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0"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0"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0"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0"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0"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0"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0"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0"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0"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0"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0"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0"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0"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0"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0"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0"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0"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0"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0"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0"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0"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0"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0"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0"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0"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0"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0"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0"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0"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0"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0"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0"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0"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0"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0"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0"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0"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0"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0"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0"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0"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0"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0"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0"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0"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0"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0"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0"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0"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0"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0"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0"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0"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0"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0"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0"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0"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0"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0"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0"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0"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0"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0"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0"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0"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0"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0"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0"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0"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0"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0"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0"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0"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0"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0"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0"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0"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0"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0"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0"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0"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0"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0"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0"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0"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0"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0"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0"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0"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0"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0"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0"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0"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0"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0"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0"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0"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0"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0"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0"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0"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0"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0"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0"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0"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0"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0"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0"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0"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0"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0"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0"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0"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0"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0"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0"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0"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0"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0"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0"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0"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0"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0"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0"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0"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0"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0"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0"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0"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0"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0"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0"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A2"/>
    <mergeCell ref="B1:B2"/>
    <mergeCell ref="D1:D2"/>
    <mergeCell ref="E1:E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9.57"/>
    <col customWidth="1" min="2" max="2" width="10.57"/>
    <col customWidth="1" min="3" max="3" width="11.43"/>
    <col customWidth="1" min="4" max="4" width="11.29"/>
    <col customWidth="1" min="5" max="5" width="10.29"/>
    <col customWidth="1" min="6" max="6" width="10.57"/>
    <col customWidth="1" min="7" max="26" width="8.71"/>
  </cols>
  <sheetData>
    <row r="1" ht="47.25" customHeight="1">
      <c r="A1" s="18" t="s">
        <v>195</v>
      </c>
      <c r="B1" s="19" t="s">
        <v>196</v>
      </c>
      <c r="C1" s="19" t="s">
        <v>197</v>
      </c>
      <c r="D1" s="19" t="s">
        <v>198</v>
      </c>
      <c r="E1" s="19" t="s">
        <v>199</v>
      </c>
      <c r="F1" s="19" t="s">
        <v>200</v>
      </c>
      <c r="G1" s="20"/>
      <c r="H1" s="20"/>
      <c r="I1" s="20"/>
      <c r="J1" s="20"/>
      <c r="K1" s="20"/>
      <c r="L1" s="20"/>
      <c r="M1" s="20"/>
      <c r="N1" s="20"/>
      <c r="O1" s="20"/>
      <c r="P1" s="20"/>
      <c r="Q1" s="20"/>
      <c r="R1" s="20"/>
      <c r="S1" s="20"/>
      <c r="T1" s="20"/>
      <c r="U1" s="20"/>
      <c r="V1" s="20"/>
      <c r="W1" s="20"/>
      <c r="X1" s="20"/>
      <c r="Y1" s="20"/>
      <c r="Z1" s="20"/>
    </row>
    <row r="2">
      <c r="A2" s="13">
        <v>1970.0</v>
      </c>
      <c r="B2" s="8"/>
      <c r="C2" s="13"/>
      <c r="D2" s="12"/>
      <c r="E2" s="11"/>
      <c r="F2" s="11"/>
      <c r="G2" s="21"/>
      <c r="H2" s="21"/>
      <c r="I2" s="21"/>
      <c r="J2" s="21"/>
      <c r="K2" s="21"/>
      <c r="L2" s="21"/>
      <c r="M2" s="21"/>
      <c r="N2" s="21"/>
      <c r="O2" s="21"/>
      <c r="P2" s="21"/>
      <c r="Q2" s="21"/>
      <c r="R2" s="21"/>
      <c r="S2" s="21"/>
      <c r="T2" s="21"/>
      <c r="U2" s="21"/>
      <c r="V2" s="21"/>
      <c r="W2" s="21"/>
      <c r="X2" s="21"/>
      <c r="Y2" s="21"/>
      <c r="Z2" s="21"/>
    </row>
    <row r="3">
      <c r="A3" s="13">
        <v>1971.0</v>
      </c>
      <c r="B3" s="8"/>
      <c r="C3" s="13">
        <v>1.0</v>
      </c>
      <c r="D3" s="12"/>
      <c r="E3" s="11"/>
      <c r="F3" s="11"/>
      <c r="G3" s="21"/>
      <c r="H3" s="21"/>
      <c r="I3" s="21"/>
      <c r="J3" s="21"/>
      <c r="K3" s="21"/>
      <c r="L3" s="21"/>
      <c r="M3" s="21"/>
      <c r="N3" s="21"/>
      <c r="O3" s="21"/>
      <c r="P3" s="21"/>
      <c r="Q3" s="21"/>
      <c r="R3" s="21"/>
      <c r="S3" s="21"/>
      <c r="T3" s="21"/>
      <c r="U3" s="21"/>
      <c r="V3" s="21"/>
      <c r="W3" s="21"/>
      <c r="X3" s="21"/>
      <c r="Y3" s="21"/>
      <c r="Z3" s="21"/>
    </row>
    <row r="4">
      <c r="A4" s="13">
        <v>1972.0</v>
      </c>
      <c r="B4" s="8"/>
      <c r="C4" s="13">
        <v>5.0</v>
      </c>
      <c r="D4" s="12"/>
      <c r="E4" s="11"/>
      <c r="F4" s="11"/>
      <c r="G4" s="21"/>
      <c r="H4" s="21"/>
      <c r="I4" s="21"/>
      <c r="J4" s="21"/>
      <c r="K4" s="21"/>
      <c r="L4" s="21"/>
      <c r="M4" s="21"/>
      <c r="N4" s="21"/>
      <c r="O4" s="21"/>
      <c r="P4" s="21"/>
      <c r="Q4" s="21"/>
      <c r="R4" s="21"/>
      <c r="S4" s="21"/>
      <c r="T4" s="21"/>
      <c r="U4" s="21"/>
      <c r="V4" s="21"/>
      <c r="W4" s="21"/>
      <c r="X4" s="21"/>
      <c r="Y4" s="21"/>
      <c r="Z4" s="21"/>
    </row>
    <row r="5">
      <c r="A5" s="13">
        <v>1973.0</v>
      </c>
      <c r="B5" s="8"/>
      <c r="C5" s="13">
        <v>1.0</v>
      </c>
      <c r="D5" s="12"/>
      <c r="E5" s="11"/>
      <c r="F5" s="11"/>
      <c r="G5" s="21"/>
      <c r="H5" s="21"/>
      <c r="I5" s="21"/>
      <c r="J5" s="21"/>
      <c r="K5" s="21"/>
      <c r="L5" s="21"/>
      <c r="M5" s="21"/>
      <c r="N5" s="21"/>
      <c r="O5" s="21"/>
      <c r="P5" s="21"/>
      <c r="Q5" s="21"/>
      <c r="R5" s="21"/>
      <c r="S5" s="21"/>
      <c r="T5" s="21"/>
      <c r="U5" s="21"/>
      <c r="V5" s="21"/>
      <c r="W5" s="21"/>
      <c r="X5" s="21"/>
      <c r="Y5" s="21"/>
      <c r="Z5" s="21"/>
    </row>
    <row r="6">
      <c r="A6" s="13">
        <v>1974.0</v>
      </c>
      <c r="B6" s="8"/>
      <c r="C6" s="13"/>
      <c r="D6" s="12"/>
      <c r="E6" s="11"/>
      <c r="F6" s="11"/>
      <c r="G6" s="21"/>
      <c r="H6" s="21"/>
      <c r="I6" s="21"/>
      <c r="J6" s="21"/>
      <c r="K6" s="21"/>
      <c r="L6" s="21"/>
      <c r="M6" s="21"/>
      <c r="N6" s="21"/>
      <c r="O6" s="21"/>
      <c r="P6" s="21"/>
      <c r="Q6" s="21"/>
      <c r="R6" s="21"/>
      <c r="S6" s="21"/>
      <c r="T6" s="21"/>
      <c r="U6" s="21"/>
      <c r="V6" s="21"/>
      <c r="W6" s="21"/>
      <c r="X6" s="21"/>
      <c r="Y6" s="21"/>
      <c r="Z6" s="21"/>
    </row>
    <row r="7">
      <c r="A7" s="13">
        <v>1975.0</v>
      </c>
      <c r="B7" s="8"/>
      <c r="C7" s="13">
        <v>5.0</v>
      </c>
      <c r="D7" s="12"/>
      <c r="E7" s="11"/>
      <c r="F7" s="11"/>
      <c r="G7" s="21"/>
      <c r="H7" s="21"/>
      <c r="I7" s="21"/>
      <c r="J7" s="21"/>
      <c r="K7" s="21"/>
      <c r="L7" s="21"/>
      <c r="M7" s="21"/>
      <c r="N7" s="21"/>
      <c r="O7" s="21"/>
      <c r="P7" s="21"/>
      <c r="Q7" s="21"/>
      <c r="R7" s="21"/>
      <c r="S7" s="21"/>
      <c r="T7" s="21"/>
      <c r="U7" s="21"/>
      <c r="V7" s="21"/>
      <c r="W7" s="21"/>
      <c r="X7" s="21"/>
      <c r="Y7" s="21"/>
      <c r="Z7" s="21"/>
    </row>
    <row r="8">
      <c r="A8" s="13">
        <v>1976.0</v>
      </c>
      <c r="B8" s="13">
        <v>2.0</v>
      </c>
      <c r="C8" s="13">
        <v>4.0</v>
      </c>
      <c r="D8" s="12">
        <v>1.0</v>
      </c>
      <c r="E8" s="12"/>
      <c r="F8" s="11"/>
      <c r="G8" s="21"/>
      <c r="H8" s="21"/>
      <c r="I8" s="21"/>
      <c r="J8" s="21"/>
      <c r="K8" s="21"/>
      <c r="L8" s="21"/>
      <c r="M8" s="21"/>
      <c r="N8" s="21"/>
      <c r="O8" s="21"/>
      <c r="P8" s="21"/>
      <c r="Q8" s="21"/>
      <c r="R8" s="21"/>
      <c r="S8" s="21"/>
      <c r="T8" s="21"/>
      <c r="U8" s="21"/>
      <c r="V8" s="21"/>
      <c r="W8" s="21"/>
      <c r="X8" s="21"/>
      <c r="Y8" s="21"/>
      <c r="Z8" s="21"/>
    </row>
    <row r="9">
      <c r="A9" s="13">
        <v>1977.0</v>
      </c>
      <c r="B9" s="13">
        <v>1.0</v>
      </c>
      <c r="C9" s="13">
        <v>1.0</v>
      </c>
      <c r="D9" s="12">
        <v>1.0</v>
      </c>
      <c r="E9" s="11"/>
      <c r="F9" s="11"/>
      <c r="G9" s="21"/>
      <c r="H9" s="21"/>
      <c r="I9" s="21"/>
      <c r="J9" s="21"/>
      <c r="K9" s="21"/>
      <c r="L9" s="21"/>
      <c r="M9" s="21"/>
      <c r="N9" s="21"/>
      <c r="O9" s="21"/>
      <c r="P9" s="21"/>
      <c r="Q9" s="21"/>
      <c r="R9" s="21"/>
      <c r="S9" s="21"/>
      <c r="T9" s="21"/>
      <c r="U9" s="21"/>
      <c r="V9" s="21"/>
      <c r="W9" s="21"/>
      <c r="X9" s="21"/>
      <c r="Y9" s="21"/>
      <c r="Z9" s="21"/>
    </row>
    <row r="10">
      <c r="A10" s="13">
        <v>1978.0</v>
      </c>
      <c r="B10" s="8"/>
      <c r="C10" s="13">
        <v>5.0</v>
      </c>
      <c r="D10" s="12">
        <v>3.0</v>
      </c>
      <c r="E10" s="11"/>
      <c r="F10" s="11"/>
      <c r="G10" s="21"/>
      <c r="H10" s="21"/>
      <c r="I10" s="21"/>
      <c r="J10" s="21"/>
      <c r="K10" s="21"/>
      <c r="L10" s="21"/>
      <c r="M10" s="21"/>
      <c r="N10" s="21"/>
      <c r="O10" s="21"/>
      <c r="P10" s="21"/>
      <c r="Q10" s="21"/>
      <c r="R10" s="21"/>
      <c r="S10" s="21"/>
      <c r="T10" s="21"/>
      <c r="U10" s="21"/>
      <c r="V10" s="21"/>
      <c r="W10" s="21"/>
      <c r="X10" s="21"/>
      <c r="Y10" s="21"/>
      <c r="Z10" s="21"/>
    </row>
    <row r="11">
      <c r="A11" s="13">
        <v>1979.0</v>
      </c>
      <c r="B11" s="8"/>
      <c r="C11" s="13">
        <v>3.0</v>
      </c>
      <c r="D11" s="12">
        <v>2.0</v>
      </c>
      <c r="E11" s="11"/>
      <c r="F11" s="11"/>
      <c r="G11" s="21"/>
      <c r="H11" s="21"/>
      <c r="I11" s="21"/>
      <c r="J11" s="21"/>
      <c r="K11" s="21"/>
      <c r="L11" s="21"/>
      <c r="M11" s="21"/>
      <c r="N11" s="21"/>
      <c r="O11" s="21"/>
      <c r="P11" s="21"/>
      <c r="Q11" s="21"/>
      <c r="R11" s="21"/>
      <c r="S11" s="21"/>
      <c r="T11" s="21"/>
      <c r="U11" s="21"/>
      <c r="V11" s="21"/>
      <c r="W11" s="21"/>
      <c r="X11" s="21"/>
      <c r="Y11" s="21"/>
      <c r="Z11" s="21"/>
    </row>
    <row r="12">
      <c r="A12" s="13">
        <v>1980.0</v>
      </c>
      <c r="B12" s="13">
        <v>3.0</v>
      </c>
      <c r="C12" s="13">
        <v>4.0</v>
      </c>
      <c r="D12" s="12">
        <v>3.0</v>
      </c>
      <c r="E12" s="12">
        <v>3.0</v>
      </c>
      <c r="F12" s="11"/>
      <c r="G12" s="21"/>
      <c r="H12" s="21"/>
      <c r="I12" s="21"/>
      <c r="J12" s="21"/>
      <c r="K12" s="21"/>
      <c r="L12" s="21"/>
      <c r="M12" s="21"/>
      <c r="N12" s="21"/>
      <c r="O12" s="21"/>
      <c r="P12" s="21"/>
      <c r="Q12" s="21"/>
      <c r="R12" s="21"/>
      <c r="S12" s="21"/>
      <c r="T12" s="21"/>
      <c r="U12" s="21"/>
      <c r="V12" s="21"/>
      <c r="W12" s="21"/>
      <c r="X12" s="21"/>
      <c r="Y12" s="21"/>
      <c r="Z12" s="21"/>
    </row>
    <row r="13">
      <c r="A13" s="13">
        <v>1981.0</v>
      </c>
      <c r="B13" s="13">
        <v>3.0</v>
      </c>
      <c r="C13" s="13">
        <v>10.0</v>
      </c>
      <c r="D13" s="12">
        <v>6.0</v>
      </c>
      <c r="E13" s="12">
        <v>2.0</v>
      </c>
      <c r="F13" s="12">
        <v>1.0</v>
      </c>
      <c r="G13" s="21"/>
      <c r="H13" s="21"/>
      <c r="I13" s="21"/>
      <c r="J13" s="21"/>
      <c r="K13" s="21"/>
      <c r="L13" s="21"/>
      <c r="M13" s="21"/>
      <c r="N13" s="21"/>
      <c r="O13" s="21"/>
      <c r="P13" s="21"/>
      <c r="Q13" s="21"/>
      <c r="R13" s="21"/>
      <c r="S13" s="21"/>
      <c r="T13" s="21"/>
      <c r="U13" s="21"/>
      <c r="V13" s="21"/>
      <c r="W13" s="21"/>
      <c r="X13" s="21"/>
      <c r="Y13" s="21"/>
      <c r="Z13" s="21"/>
    </row>
    <row r="14">
      <c r="A14" s="13">
        <v>1982.0</v>
      </c>
      <c r="B14" s="13">
        <v>5.0</v>
      </c>
      <c r="C14" s="13">
        <v>5.0</v>
      </c>
      <c r="D14" s="12">
        <v>9.0</v>
      </c>
      <c r="E14" s="12">
        <v>2.0</v>
      </c>
      <c r="F14" s="12">
        <v>1.0</v>
      </c>
      <c r="G14" s="21"/>
      <c r="H14" s="21"/>
      <c r="I14" s="21"/>
      <c r="J14" s="21"/>
      <c r="K14" s="21"/>
      <c r="L14" s="21"/>
      <c r="M14" s="21"/>
      <c r="N14" s="21"/>
      <c r="O14" s="21"/>
      <c r="P14" s="21"/>
      <c r="Q14" s="21"/>
      <c r="R14" s="21"/>
      <c r="S14" s="21"/>
      <c r="T14" s="21"/>
      <c r="U14" s="21"/>
      <c r="V14" s="21"/>
      <c r="W14" s="21"/>
      <c r="X14" s="21"/>
      <c r="Y14" s="21"/>
      <c r="Z14" s="21"/>
    </row>
    <row r="15">
      <c r="A15" s="13">
        <v>1983.0</v>
      </c>
      <c r="B15" s="13">
        <v>8.0</v>
      </c>
      <c r="C15" s="13">
        <v>12.0</v>
      </c>
      <c r="D15" s="12">
        <v>9.0</v>
      </c>
      <c r="E15" s="12">
        <v>2.0</v>
      </c>
      <c r="F15" s="12">
        <v>1.0</v>
      </c>
      <c r="G15" s="21"/>
      <c r="H15" s="21"/>
      <c r="I15" s="21"/>
      <c r="J15" s="21"/>
      <c r="K15" s="21"/>
      <c r="L15" s="21"/>
      <c r="M15" s="21"/>
      <c r="N15" s="21"/>
      <c r="O15" s="21"/>
      <c r="P15" s="21"/>
      <c r="Q15" s="21"/>
      <c r="R15" s="21"/>
      <c r="S15" s="21"/>
      <c r="T15" s="21"/>
      <c r="U15" s="21"/>
      <c r="V15" s="21"/>
      <c r="W15" s="21"/>
      <c r="X15" s="21"/>
      <c r="Y15" s="21"/>
      <c r="Z15" s="21"/>
    </row>
    <row r="16">
      <c r="A16" s="13">
        <v>1984.0</v>
      </c>
      <c r="B16" s="13">
        <v>1.0</v>
      </c>
      <c r="C16" s="13">
        <v>10.0</v>
      </c>
      <c r="D16" s="12">
        <v>4.0</v>
      </c>
      <c r="E16" s="11"/>
      <c r="F16" s="11"/>
      <c r="G16" s="21"/>
      <c r="H16" s="21"/>
      <c r="I16" s="21"/>
      <c r="J16" s="21"/>
      <c r="K16" s="21"/>
      <c r="L16" s="21"/>
      <c r="M16" s="21"/>
      <c r="N16" s="21"/>
      <c r="O16" s="21"/>
      <c r="P16" s="21"/>
      <c r="Q16" s="21"/>
      <c r="R16" s="21"/>
      <c r="S16" s="21"/>
      <c r="T16" s="21"/>
      <c r="U16" s="21"/>
      <c r="V16" s="21"/>
      <c r="W16" s="21"/>
      <c r="X16" s="21"/>
      <c r="Y16" s="21"/>
      <c r="Z16" s="21"/>
    </row>
    <row r="17">
      <c r="A17" s="13">
        <v>1985.0</v>
      </c>
      <c r="B17" s="13">
        <v>2.0</v>
      </c>
      <c r="C17" s="13">
        <v>10.0</v>
      </c>
      <c r="D17" s="12">
        <v>3.0</v>
      </c>
      <c r="E17" s="12"/>
      <c r="F17" s="11"/>
      <c r="G17" s="21"/>
      <c r="H17" s="21"/>
      <c r="I17" s="21"/>
      <c r="J17" s="21"/>
      <c r="K17" s="21"/>
      <c r="L17" s="21"/>
      <c r="M17" s="21"/>
      <c r="N17" s="21"/>
      <c r="O17" s="21"/>
      <c r="P17" s="21"/>
      <c r="Q17" s="21"/>
      <c r="R17" s="21"/>
      <c r="S17" s="21"/>
      <c r="T17" s="21"/>
      <c r="U17" s="21"/>
      <c r="V17" s="21"/>
      <c r="W17" s="21"/>
      <c r="X17" s="21"/>
      <c r="Y17" s="21"/>
      <c r="Z17" s="21"/>
    </row>
    <row r="18">
      <c r="A18" s="13">
        <v>1986.0</v>
      </c>
      <c r="B18" s="13">
        <v>1.0</v>
      </c>
      <c r="C18" s="13">
        <v>4.0</v>
      </c>
      <c r="D18" s="12">
        <v>3.0</v>
      </c>
      <c r="E18" s="11"/>
      <c r="F18" s="11"/>
      <c r="G18" s="21"/>
      <c r="H18" s="21"/>
      <c r="I18" s="21"/>
      <c r="J18" s="21"/>
      <c r="K18" s="21"/>
      <c r="L18" s="21"/>
      <c r="M18" s="21"/>
      <c r="N18" s="21"/>
      <c r="O18" s="21"/>
      <c r="P18" s="21"/>
      <c r="Q18" s="21"/>
      <c r="R18" s="21"/>
      <c r="S18" s="21"/>
      <c r="T18" s="21"/>
      <c r="U18" s="21"/>
      <c r="V18" s="21"/>
      <c r="W18" s="21"/>
      <c r="X18" s="21"/>
      <c r="Y18" s="21"/>
      <c r="Z18" s="21"/>
    </row>
    <row r="19">
      <c r="A19" s="13">
        <v>1987.0</v>
      </c>
      <c r="B19" s="13">
        <v>6.0</v>
      </c>
      <c r="C19" s="13">
        <v>6.0</v>
      </c>
      <c r="D19" s="12"/>
      <c r="E19" s="12">
        <v>1.0</v>
      </c>
      <c r="F19" s="11"/>
      <c r="G19" s="21"/>
      <c r="H19" s="21"/>
      <c r="I19" s="21"/>
      <c r="J19" s="21"/>
      <c r="K19" s="21"/>
      <c r="L19" s="21"/>
      <c r="M19" s="21"/>
      <c r="N19" s="21"/>
      <c r="O19" s="21"/>
      <c r="P19" s="21"/>
      <c r="Q19" s="21"/>
      <c r="R19" s="21"/>
      <c r="S19" s="21"/>
      <c r="T19" s="21"/>
      <c r="U19" s="21"/>
      <c r="V19" s="21"/>
      <c r="W19" s="21"/>
      <c r="X19" s="21"/>
      <c r="Y19" s="21"/>
      <c r="Z19" s="21"/>
    </row>
    <row r="20">
      <c r="A20" s="13">
        <v>1988.0</v>
      </c>
      <c r="B20" s="13">
        <v>7.0</v>
      </c>
      <c r="C20" s="13">
        <v>5.0</v>
      </c>
      <c r="D20" s="12">
        <v>1.0</v>
      </c>
      <c r="E20" s="12"/>
      <c r="F20" s="11"/>
      <c r="G20" s="21"/>
      <c r="H20" s="21"/>
      <c r="I20" s="21"/>
      <c r="J20" s="21"/>
      <c r="K20" s="21"/>
      <c r="L20" s="21"/>
      <c r="M20" s="21"/>
      <c r="N20" s="21"/>
      <c r="O20" s="21"/>
      <c r="P20" s="21"/>
      <c r="Q20" s="21"/>
      <c r="R20" s="21"/>
      <c r="S20" s="21"/>
      <c r="T20" s="21"/>
      <c r="U20" s="21"/>
      <c r="V20" s="21"/>
      <c r="W20" s="21"/>
      <c r="X20" s="21"/>
      <c r="Y20" s="21"/>
      <c r="Z20" s="21"/>
    </row>
    <row r="21" ht="15.75" customHeight="1">
      <c r="A21" s="13">
        <v>1989.0</v>
      </c>
      <c r="B21" s="13">
        <v>4.0</v>
      </c>
      <c r="C21" s="13">
        <v>8.0</v>
      </c>
      <c r="D21" s="12">
        <v>3.0</v>
      </c>
      <c r="E21" s="12">
        <v>1.0</v>
      </c>
      <c r="F21" s="12">
        <v>1.0</v>
      </c>
      <c r="G21" s="21"/>
      <c r="H21" s="21"/>
      <c r="I21" s="21"/>
      <c r="J21" s="21"/>
      <c r="K21" s="21"/>
      <c r="L21" s="21"/>
      <c r="M21" s="21"/>
      <c r="N21" s="21"/>
      <c r="O21" s="21"/>
      <c r="P21" s="21"/>
      <c r="Q21" s="21"/>
      <c r="R21" s="21"/>
      <c r="S21" s="21"/>
      <c r="T21" s="21"/>
      <c r="U21" s="21"/>
      <c r="V21" s="21"/>
      <c r="W21" s="21"/>
      <c r="X21" s="21"/>
      <c r="Y21" s="21"/>
      <c r="Z21" s="21"/>
    </row>
    <row r="22" ht="15.75" customHeight="1">
      <c r="A22" s="13">
        <v>1990.0</v>
      </c>
      <c r="B22" s="13">
        <v>6.0</v>
      </c>
      <c r="C22" s="13">
        <v>10.0</v>
      </c>
      <c r="D22" s="12">
        <v>2.0</v>
      </c>
      <c r="E22" s="12">
        <v>3.0</v>
      </c>
      <c r="F22" s="11"/>
      <c r="G22" s="21"/>
      <c r="H22" s="21"/>
      <c r="I22" s="21"/>
      <c r="J22" s="21"/>
      <c r="K22" s="21"/>
      <c r="L22" s="21"/>
      <c r="M22" s="21"/>
      <c r="N22" s="21"/>
      <c r="O22" s="21"/>
      <c r="P22" s="21"/>
      <c r="Q22" s="21"/>
      <c r="R22" s="21"/>
      <c r="S22" s="21"/>
      <c r="T22" s="21"/>
      <c r="U22" s="21"/>
      <c r="V22" s="21"/>
      <c r="W22" s="21"/>
      <c r="X22" s="21"/>
      <c r="Y22" s="21"/>
      <c r="Z22" s="21"/>
    </row>
    <row r="23" ht="15.75" customHeight="1">
      <c r="A23" s="13">
        <v>1991.0</v>
      </c>
      <c r="B23" s="13">
        <v>10.0</v>
      </c>
      <c r="C23" s="13">
        <v>6.0</v>
      </c>
      <c r="D23" s="12"/>
      <c r="E23" s="12">
        <v>1.0</v>
      </c>
      <c r="F23" s="11"/>
      <c r="G23" s="21"/>
      <c r="H23" s="21"/>
      <c r="I23" s="21"/>
      <c r="J23" s="21"/>
      <c r="K23" s="21"/>
      <c r="L23" s="21"/>
      <c r="M23" s="21"/>
      <c r="N23" s="21"/>
      <c r="O23" s="21"/>
      <c r="P23" s="21"/>
      <c r="Q23" s="21"/>
      <c r="R23" s="21"/>
      <c r="S23" s="21"/>
      <c r="T23" s="21"/>
      <c r="U23" s="21"/>
      <c r="V23" s="21"/>
      <c r="W23" s="21"/>
      <c r="X23" s="21"/>
      <c r="Y23" s="21"/>
      <c r="Z23" s="21"/>
    </row>
    <row r="24" ht="15.75" customHeight="1">
      <c r="A24" s="13">
        <v>1992.0</v>
      </c>
      <c r="B24" s="13">
        <v>8.0</v>
      </c>
      <c r="C24" s="13">
        <v>6.0</v>
      </c>
      <c r="D24" s="12">
        <v>1.0</v>
      </c>
      <c r="E24" s="12">
        <v>2.0</v>
      </c>
      <c r="F24" s="12"/>
      <c r="G24" s="21"/>
      <c r="H24" s="21"/>
      <c r="I24" s="21"/>
      <c r="J24" s="21"/>
      <c r="K24" s="21"/>
      <c r="L24" s="21"/>
      <c r="M24" s="21"/>
      <c r="N24" s="21"/>
      <c r="O24" s="21"/>
      <c r="P24" s="21"/>
      <c r="Q24" s="21"/>
      <c r="R24" s="21"/>
      <c r="S24" s="21"/>
      <c r="T24" s="21"/>
      <c r="U24" s="21"/>
      <c r="V24" s="21"/>
      <c r="W24" s="21"/>
      <c r="X24" s="21"/>
      <c r="Y24" s="21"/>
      <c r="Z24" s="21"/>
    </row>
    <row r="25" ht="15.75" customHeight="1">
      <c r="A25" s="13">
        <v>1993.0</v>
      </c>
      <c r="B25" s="13">
        <v>7.0</v>
      </c>
      <c r="C25" s="13">
        <v>8.0</v>
      </c>
      <c r="D25" s="12"/>
      <c r="E25" s="12">
        <v>1.0</v>
      </c>
      <c r="F25" s="11"/>
      <c r="G25" s="21"/>
      <c r="H25" s="21"/>
      <c r="I25" s="21"/>
      <c r="J25" s="21"/>
      <c r="K25" s="21"/>
      <c r="L25" s="21"/>
      <c r="M25" s="21"/>
      <c r="N25" s="21"/>
      <c r="O25" s="21"/>
      <c r="P25" s="21"/>
      <c r="Q25" s="21"/>
      <c r="R25" s="21"/>
      <c r="S25" s="21"/>
      <c r="T25" s="21"/>
      <c r="U25" s="21"/>
      <c r="V25" s="21"/>
      <c r="W25" s="21"/>
      <c r="X25" s="21"/>
      <c r="Y25" s="21"/>
      <c r="Z25" s="21"/>
    </row>
    <row r="26" ht="15.75" customHeight="1">
      <c r="A26" s="13">
        <v>1994.0</v>
      </c>
      <c r="B26" s="13">
        <v>11.0</v>
      </c>
      <c r="C26" s="13">
        <v>20.0</v>
      </c>
      <c r="D26" s="12"/>
      <c r="E26" s="12">
        <v>3.0</v>
      </c>
      <c r="F26" s="11"/>
      <c r="G26" s="21"/>
      <c r="H26" s="21"/>
      <c r="I26" s="21"/>
      <c r="J26" s="21"/>
      <c r="K26" s="21"/>
      <c r="L26" s="21"/>
      <c r="M26" s="21"/>
      <c r="N26" s="21"/>
      <c r="O26" s="21"/>
      <c r="P26" s="21"/>
      <c r="Q26" s="21"/>
      <c r="R26" s="21"/>
      <c r="S26" s="21"/>
      <c r="T26" s="21"/>
      <c r="U26" s="21"/>
      <c r="V26" s="21"/>
      <c r="W26" s="21"/>
      <c r="X26" s="21"/>
      <c r="Y26" s="21"/>
      <c r="Z26" s="21"/>
    </row>
    <row r="27" ht="15.75" customHeight="1">
      <c r="A27" s="13">
        <v>1995.0</v>
      </c>
      <c r="B27" s="13">
        <v>13.0</v>
      </c>
      <c r="C27" s="13">
        <v>4.0</v>
      </c>
      <c r="D27" s="12"/>
      <c r="E27" s="12">
        <v>4.0</v>
      </c>
      <c r="F27" s="11"/>
      <c r="G27" s="21"/>
      <c r="H27" s="21"/>
      <c r="I27" s="21"/>
      <c r="J27" s="21"/>
      <c r="K27" s="21"/>
      <c r="L27" s="21"/>
      <c r="M27" s="21"/>
      <c r="N27" s="21"/>
      <c r="O27" s="21"/>
      <c r="P27" s="21"/>
      <c r="Q27" s="21"/>
      <c r="R27" s="21"/>
      <c r="S27" s="21"/>
      <c r="T27" s="21"/>
      <c r="U27" s="21"/>
      <c r="V27" s="21"/>
      <c r="W27" s="21"/>
      <c r="X27" s="21"/>
      <c r="Y27" s="21"/>
      <c r="Z27" s="21"/>
    </row>
    <row r="28" ht="15.75" customHeight="1">
      <c r="A28" s="13">
        <v>1996.0</v>
      </c>
      <c r="B28" s="13">
        <v>4.0</v>
      </c>
      <c r="C28" s="13">
        <v>6.0</v>
      </c>
      <c r="D28" s="12"/>
      <c r="E28" s="12">
        <v>2.0</v>
      </c>
      <c r="F28" s="11"/>
      <c r="G28" s="21"/>
      <c r="H28" s="21"/>
      <c r="I28" s="21"/>
      <c r="J28" s="21"/>
      <c r="K28" s="21"/>
      <c r="L28" s="21"/>
      <c r="M28" s="21"/>
      <c r="N28" s="21"/>
      <c r="O28" s="21"/>
      <c r="P28" s="21"/>
      <c r="Q28" s="21"/>
      <c r="R28" s="21"/>
      <c r="S28" s="21"/>
      <c r="T28" s="21"/>
      <c r="U28" s="21"/>
      <c r="V28" s="21"/>
      <c r="W28" s="21"/>
      <c r="X28" s="21"/>
      <c r="Y28" s="21"/>
      <c r="Z28" s="21"/>
    </row>
    <row r="29" ht="15.75" customHeight="1">
      <c r="A29" s="13">
        <v>1997.0</v>
      </c>
      <c r="B29" s="13">
        <v>7.0</v>
      </c>
      <c r="C29" s="13">
        <v>7.0</v>
      </c>
      <c r="D29" s="12"/>
      <c r="E29" s="12">
        <v>5.0</v>
      </c>
      <c r="F29" s="11"/>
      <c r="G29" s="21"/>
      <c r="H29" s="21"/>
      <c r="I29" s="21"/>
      <c r="J29" s="21"/>
      <c r="K29" s="21"/>
      <c r="L29" s="21"/>
      <c r="M29" s="21"/>
      <c r="N29" s="21"/>
      <c r="O29" s="21"/>
      <c r="P29" s="21"/>
      <c r="Q29" s="21"/>
      <c r="R29" s="21"/>
      <c r="S29" s="21"/>
      <c r="T29" s="21"/>
      <c r="U29" s="21"/>
      <c r="V29" s="21"/>
      <c r="W29" s="21"/>
      <c r="X29" s="21"/>
      <c r="Y29" s="21"/>
      <c r="Z29" s="21"/>
    </row>
    <row r="30" ht="15.75" customHeight="1">
      <c r="A30" s="13">
        <v>1998.0</v>
      </c>
      <c r="B30" s="13">
        <v>8.0</v>
      </c>
      <c r="C30" s="13">
        <v>10.0</v>
      </c>
      <c r="D30" s="12">
        <v>2.0</v>
      </c>
      <c r="E30" s="12">
        <v>3.0</v>
      </c>
      <c r="F30" s="12">
        <v>3.0</v>
      </c>
      <c r="G30" s="21"/>
      <c r="H30" s="21"/>
      <c r="I30" s="21"/>
      <c r="J30" s="21"/>
      <c r="K30" s="21"/>
      <c r="L30" s="21"/>
      <c r="M30" s="21"/>
      <c r="N30" s="21"/>
      <c r="O30" s="21"/>
      <c r="P30" s="21"/>
      <c r="Q30" s="21"/>
      <c r="R30" s="21"/>
      <c r="S30" s="21"/>
      <c r="T30" s="21"/>
      <c r="U30" s="21"/>
      <c r="V30" s="21"/>
      <c r="W30" s="21"/>
      <c r="X30" s="21"/>
      <c r="Y30" s="21"/>
      <c r="Z30" s="21"/>
    </row>
    <row r="31" ht="15.75" customHeight="1">
      <c r="A31" s="13">
        <v>1999.0</v>
      </c>
      <c r="B31" s="8"/>
      <c r="C31" s="13">
        <v>7.0</v>
      </c>
      <c r="D31" s="12">
        <v>2.0</v>
      </c>
      <c r="E31" s="11"/>
      <c r="F31" s="11"/>
      <c r="G31" s="21"/>
      <c r="H31" s="21"/>
      <c r="I31" s="21"/>
      <c r="J31" s="21"/>
      <c r="K31" s="21"/>
      <c r="L31" s="21"/>
      <c r="M31" s="21"/>
      <c r="N31" s="21"/>
      <c r="O31" s="21"/>
      <c r="P31" s="21"/>
      <c r="Q31" s="21"/>
      <c r="R31" s="21"/>
      <c r="S31" s="21"/>
      <c r="T31" s="21"/>
      <c r="U31" s="21"/>
      <c r="V31" s="21"/>
      <c r="W31" s="21"/>
      <c r="X31" s="21"/>
      <c r="Y31" s="21"/>
      <c r="Z31" s="21"/>
    </row>
    <row r="32" ht="15.75" customHeight="1">
      <c r="A32" s="13">
        <v>2000.0</v>
      </c>
      <c r="B32" s="13">
        <v>2.0</v>
      </c>
      <c r="C32" s="13">
        <v>4.0</v>
      </c>
      <c r="D32" s="12"/>
      <c r="E32" s="12">
        <v>1.0</v>
      </c>
      <c r="F32" s="11"/>
      <c r="G32" s="21"/>
      <c r="H32" s="21"/>
      <c r="I32" s="21"/>
      <c r="J32" s="21"/>
      <c r="K32" s="21"/>
      <c r="L32" s="21"/>
      <c r="M32" s="21"/>
      <c r="N32" s="21"/>
      <c r="O32" s="21"/>
      <c r="P32" s="21"/>
      <c r="Q32" s="21"/>
      <c r="R32" s="21"/>
      <c r="S32" s="21"/>
      <c r="T32" s="21"/>
      <c r="U32" s="21"/>
      <c r="V32" s="21"/>
      <c r="W32" s="21"/>
      <c r="X32" s="21"/>
      <c r="Y32" s="21"/>
      <c r="Z32" s="21"/>
    </row>
    <row r="33" ht="15.75" customHeight="1">
      <c r="A33" s="13">
        <v>2001.0</v>
      </c>
      <c r="B33" s="13">
        <v>1.0</v>
      </c>
      <c r="C33" s="13">
        <v>3.0</v>
      </c>
      <c r="D33" s="12">
        <v>2.0</v>
      </c>
      <c r="E33" s="12">
        <v>1.0</v>
      </c>
      <c r="F33" s="12">
        <v>1.0</v>
      </c>
      <c r="G33" s="21"/>
      <c r="H33" s="21"/>
      <c r="I33" s="21"/>
      <c r="J33" s="21"/>
      <c r="K33" s="21"/>
      <c r="L33" s="21"/>
      <c r="M33" s="21"/>
      <c r="N33" s="21"/>
      <c r="O33" s="21"/>
      <c r="P33" s="21"/>
      <c r="Q33" s="21"/>
      <c r="R33" s="21"/>
      <c r="S33" s="21"/>
      <c r="T33" s="21"/>
      <c r="U33" s="21"/>
      <c r="V33" s="21"/>
      <c r="W33" s="21"/>
      <c r="X33" s="21"/>
      <c r="Y33" s="21"/>
      <c r="Z33" s="21"/>
    </row>
    <row r="34" ht="15.75" customHeight="1">
      <c r="A34" s="13">
        <v>2002.0</v>
      </c>
      <c r="B34" s="13">
        <v>1.0</v>
      </c>
      <c r="C34" s="13">
        <v>5.0</v>
      </c>
      <c r="D34" s="12">
        <v>4.0</v>
      </c>
      <c r="E34" s="12">
        <v>1.0</v>
      </c>
      <c r="F34" s="12">
        <v>1.0</v>
      </c>
      <c r="G34" s="21"/>
      <c r="H34" s="21"/>
      <c r="I34" s="21"/>
      <c r="J34" s="21"/>
      <c r="K34" s="21"/>
      <c r="L34" s="21"/>
      <c r="M34" s="21"/>
      <c r="N34" s="21"/>
      <c r="O34" s="21"/>
      <c r="P34" s="21"/>
      <c r="Q34" s="21"/>
      <c r="R34" s="21"/>
      <c r="S34" s="21"/>
      <c r="T34" s="21"/>
      <c r="U34" s="21"/>
      <c r="V34" s="21"/>
      <c r="W34" s="21"/>
      <c r="X34" s="21"/>
      <c r="Y34" s="21"/>
      <c r="Z34" s="21"/>
    </row>
    <row r="35" ht="15.75" customHeight="1">
      <c r="A35" s="13">
        <v>2003.0</v>
      </c>
      <c r="B35" s="13">
        <v>1.0</v>
      </c>
      <c r="C35" s="13">
        <v>4.0</v>
      </c>
      <c r="D35" s="12">
        <v>1.0</v>
      </c>
      <c r="E35" s="12">
        <v>1.0</v>
      </c>
      <c r="F35" s="12">
        <v>1.0</v>
      </c>
      <c r="G35" s="21"/>
      <c r="H35" s="21"/>
      <c r="I35" s="21"/>
      <c r="J35" s="21"/>
      <c r="K35" s="21"/>
      <c r="L35" s="21"/>
      <c r="M35" s="21"/>
      <c r="N35" s="21"/>
      <c r="O35" s="21"/>
      <c r="P35" s="21"/>
      <c r="Q35" s="21"/>
      <c r="R35" s="21"/>
      <c r="S35" s="21"/>
      <c r="T35" s="21"/>
      <c r="U35" s="21"/>
      <c r="V35" s="21"/>
      <c r="W35" s="21"/>
      <c r="X35" s="21"/>
      <c r="Y35" s="21"/>
      <c r="Z35" s="21"/>
    </row>
    <row r="36" ht="15.75" customHeight="1">
      <c r="A36" s="13">
        <v>2004.0</v>
      </c>
      <c r="B36" s="8"/>
      <c r="C36" s="13">
        <v>1.0</v>
      </c>
      <c r="D36" s="12">
        <v>1.0</v>
      </c>
      <c r="E36" s="11"/>
      <c r="F36" s="11"/>
      <c r="G36" s="21"/>
      <c r="H36" s="21"/>
      <c r="I36" s="21"/>
      <c r="J36" s="21"/>
      <c r="K36" s="21"/>
      <c r="L36" s="21"/>
      <c r="M36" s="21"/>
      <c r="N36" s="21"/>
      <c r="O36" s="21"/>
      <c r="P36" s="21"/>
      <c r="Q36" s="21"/>
      <c r="R36" s="21"/>
      <c r="S36" s="21"/>
      <c r="T36" s="21"/>
      <c r="U36" s="21"/>
      <c r="V36" s="21"/>
      <c r="W36" s="21"/>
      <c r="X36" s="21"/>
      <c r="Y36" s="21"/>
      <c r="Z36" s="21"/>
    </row>
    <row r="37" ht="15.75" customHeight="1">
      <c r="A37" s="13">
        <v>2005.0</v>
      </c>
      <c r="B37" s="8"/>
      <c r="C37" s="13">
        <v>1.0</v>
      </c>
      <c r="D37" s="12"/>
      <c r="E37" s="11"/>
      <c r="F37" s="11"/>
      <c r="G37" s="21"/>
      <c r="H37" s="21"/>
      <c r="I37" s="21"/>
      <c r="J37" s="21"/>
      <c r="K37" s="21"/>
      <c r="L37" s="21"/>
      <c r="M37" s="21"/>
      <c r="N37" s="21"/>
      <c r="O37" s="21"/>
      <c r="P37" s="21"/>
      <c r="Q37" s="21"/>
      <c r="R37" s="21"/>
      <c r="S37" s="21"/>
      <c r="T37" s="21"/>
      <c r="U37" s="21"/>
      <c r="V37" s="21"/>
      <c r="W37" s="21"/>
      <c r="X37" s="21"/>
      <c r="Y37" s="21"/>
      <c r="Z37" s="21"/>
    </row>
    <row r="38" ht="15.75" customHeight="1">
      <c r="A38" s="13">
        <v>2006.0</v>
      </c>
      <c r="B38" s="8"/>
      <c r="C38" s="13"/>
      <c r="D38" s="11"/>
      <c r="E38" s="11"/>
      <c r="F38" s="11"/>
      <c r="G38" s="21"/>
      <c r="H38" s="21"/>
      <c r="I38" s="21"/>
      <c r="J38" s="21"/>
      <c r="K38" s="21"/>
      <c r="L38" s="21"/>
      <c r="M38" s="21"/>
      <c r="N38" s="21"/>
      <c r="O38" s="21"/>
      <c r="P38" s="21"/>
      <c r="Q38" s="21"/>
      <c r="R38" s="21"/>
      <c r="S38" s="21"/>
      <c r="T38" s="21"/>
      <c r="U38" s="21"/>
      <c r="V38" s="21"/>
      <c r="W38" s="21"/>
      <c r="X38" s="21"/>
      <c r="Y38" s="21"/>
      <c r="Z38" s="21"/>
    </row>
    <row r="39" ht="15.75" customHeight="1">
      <c r="A39" s="13">
        <v>2007.0</v>
      </c>
      <c r="B39" s="13">
        <v>2.0</v>
      </c>
      <c r="C39" s="13">
        <v>1.0</v>
      </c>
      <c r="D39" s="11">
        <v>1.0</v>
      </c>
      <c r="E39" s="11"/>
      <c r="F39" s="11"/>
      <c r="G39" s="21"/>
      <c r="H39" s="21"/>
      <c r="I39" s="21"/>
      <c r="J39" s="21"/>
      <c r="K39" s="21"/>
      <c r="L39" s="21"/>
      <c r="M39" s="21"/>
      <c r="N39" s="21"/>
      <c r="O39" s="21"/>
      <c r="P39" s="21"/>
      <c r="Q39" s="21"/>
      <c r="R39" s="21"/>
      <c r="S39" s="21"/>
      <c r="T39" s="21"/>
      <c r="U39" s="21"/>
      <c r="V39" s="21"/>
      <c r="W39" s="21"/>
      <c r="X39" s="21"/>
      <c r="Y39" s="21"/>
      <c r="Z39" s="21"/>
    </row>
    <row r="40" ht="15.75" customHeight="1">
      <c r="A40" s="13">
        <v>2008.0</v>
      </c>
      <c r="B40" s="13">
        <v>22.0</v>
      </c>
      <c r="C40" s="13">
        <v>3.0</v>
      </c>
      <c r="D40" s="11">
        <v>2.0</v>
      </c>
      <c r="E40" s="11">
        <v>2.0</v>
      </c>
      <c r="F40" s="11"/>
      <c r="G40" s="21"/>
      <c r="H40" s="21"/>
      <c r="I40" s="21"/>
      <c r="J40" s="21"/>
      <c r="K40" s="21"/>
      <c r="L40" s="21"/>
      <c r="M40" s="21"/>
      <c r="N40" s="21"/>
      <c r="O40" s="21"/>
      <c r="P40" s="21"/>
      <c r="Q40" s="21"/>
      <c r="R40" s="21"/>
      <c r="S40" s="21"/>
      <c r="T40" s="21"/>
      <c r="U40" s="21"/>
      <c r="V40" s="21"/>
      <c r="W40" s="21"/>
      <c r="X40" s="21"/>
      <c r="Y40" s="21"/>
      <c r="Z40" s="21"/>
    </row>
    <row r="41" ht="15.75" customHeight="1">
      <c r="A41" s="13">
        <v>2009.0</v>
      </c>
      <c r="B41" s="13">
        <v>1.0</v>
      </c>
      <c r="C41" s="13">
        <v>5.0</v>
      </c>
      <c r="D41" s="11"/>
      <c r="E41" s="11"/>
      <c r="F41" s="11"/>
      <c r="G41" s="21"/>
      <c r="H41" s="21"/>
      <c r="I41" s="21"/>
      <c r="J41" s="21"/>
      <c r="K41" s="21"/>
      <c r="L41" s="21"/>
      <c r="M41" s="21"/>
      <c r="N41" s="21"/>
      <c r="O41" s="21"/>
      <c r="P41" s="21"/>
      <c r="Q41" s="21"/>
      <c r="R41" s="21"/>
      <c r="S41" s="21"/>
      <c r="T41" s="21"/>
      <c r="U41" s="21"/>
      <c r="V41" s="21"/>
      <c r="W41" s="21"/>
      <c r="X41" s="21"/>
      <c r="Y41" s="21"/>
      <c r="Z41" s="21"/>
    </row>
    <row r="42" ht="15.75" customHeight="1">
      <c r="A42" s="13">
        <v>2010.0</v>
      </c>
      <c r="B42" s="13"/>
      <c r="C42" s="13">
        <v>1.0</v>
      </c>
      <c r="D42" s="11">
        <v>2.0</v>
      </c>
      <c r="E42" s="11"/>
      <c r="F42" s="11"/>
      <c r="G42" s="21"/>
      <c r="H42" s="21"/>
      <c r="I42" s="21"/>
      <c r="J42" s="21"/>
      <c r="K42" s="21"/>
      <c r="L42" s="21"/>
      <c r="M42" s="21"/>
      <c r="N42" s="21"/>
      <c r="O42" s="21"/>
      <c r="P42" s="21"/>
      <c r="Q42" s="21"/>
      <c r="R42" s="21"/>
      <c r="S42" s="21"/>
      <c r="T42" s="21"/>
      <c r="U42" s="21"/>
      <c r="V42" s="21"/>
      <c r="W42" s="21"/>
      <c r="X42" s="21"/>
      <c r="Y42" s="21"/>
      <c r="Z42" s="21"/>
    </row>
    <row r="43" ht="15.75" customHeight="1">
      <c r="A43" s="13">
        <v>2011.0</v>
      </c>
      <c r="B43" s="13">
        <v>1.0</v>
      </c>
      <c r="C43" s="13"/>
      <c r="D43" s="11"/>
      <c r="E43" s="11"/>
      <c r="F43" s="11"/>
      <c r="G43" s="21"/>
      <c r="H43" s="21"/>
      <c r="I43" s="21"/>
      <c r="J43" s="21"/>
      <c r="K43" s="21"/>
      <c r="L43" s="21"/>
      <c r="M43" s="21"/>
      <c r="N43" s="21"/>
      <c r="O43" s="21"/>
      <c r="P43" s="21"/>
      <c r="Q43" s="21"/>
      <c r="R43" s="21"/>
      <c r="S43" s="21"/>
      <c r="T43" s="21"/>
      <c r="U43" s="21"/>
      <c r="V43" s="21"/>
      <c r="W43" s="21"/>
      <c r="X43" s="21"/>
      <c r="Y43" s="21"/>
      <c r="Z43" s="21"/>
    </row>
    <row r="44" ht="15.75" customHeight="1">
      <c r="A44" s="13">
        <v>2012.0</v>
      </c>
      <c r="B44" s="13"/>
      <c r="C44" s="13">
        <v>3.0</v>
      </c>
      <c r="D44" s="11">
        <v>2.0</v>
      </c>
      <c r="E44" s="11"/>
      <c r="F44" s="11"/>
      <c r="G44" s="21"/>
      <c r="H44" s="21"/>
      <c r="I44" s="21"/>
      <c r="J44" s="21"/>
      <c r="K44" s="21"/>
      <c r="L44" s="21"/>
      <c r="M44" s="21"/>
      <c r="N44" s="21"/>
      <c r="O44" s="21"/>
      <c r="P44" s="21"/>
      <c r="Q44" s="21"/>
      <c r="R44" s="21"/>
      <c r="S44" s="21"/>
      <c r="T44" s="21"/>
      <c r="U44" s="21"/>
      <c r="V44" s="21"/>
      <c r="W44" s="21"/>
      <c r="X44" s="21"/>
      <c r="Y44" s="21"/>
      <c r="Z44" s="21"/>
    </row>
    <row r="45" ht="15.75" customHeight="1">
      <c r="A45" s="13">
        <v>2013.0</v>
      </c>
      <c r="B45" s="13"/>
      <c r="C45" s="13">
        <v>2.0</v>
      </c>
      <c r="D45" s="11">
        <v>1.0</v>
      </c>
      <c r="E45" s="11"/>
      <c r="F45" s="11"/>
      <c r="G45" s="21"/>
      <c r="H45" s="21"/>
      <c r="I45" s="21"/>
      <c r="J45" s="21"/>
      <c r="K45" s="21"/>
      <c r="L45" s="21"/>
      <c r="M45" s="21"/>
      <c r="N45" s="21"/>
      <c r="O45" s="21"/>
      <c r="P45" s="21"/>
      <c r="Q45" s="21"/>
      <c r="R45" s="21"/>
      <c r="S45" s="21"/>
      <c r="T45" s="21"/>
      <c r="U45" s="21"/>
      <c r="V45" s="21"/>
      <c r="W45" s="21"/>
      <c r="X45" s="21"/>
      <c r="Y45" s="21"/>
      <c r="Z45" s="21"/>
    </row>
    <row r="46" ht="15.75" customHeight="1">
      <c r="A46" s="13">
        <v>2014.0</v>
      </c>
      <c r="B46" s="13">
        <v>3.0</v>
      </c>
      <c r="C46" s="13">
        <v>3.0</v>
      </c>
      <c r="D46" s="11">
        <v>1.0</v>
      </c>
      <c r="E46" s="11"/>
      <c r="F46" s="11">
        <v>1.0</v>
      </c>
      <c r="G46" s="21"/>
      <c r="H46" s="21"/>
      <c r="I46" s="21"/>
      <c r="J46" s="21"/>
      <c r="K46" s="21"/>
      <c r="L46" s="21"/>
      <c r="M46" s="21"/>
      <c r="N46" s="21"/>
      <c r="O46" s="21"/>
      <c r="P46" s="21"/>
      <c r="Q46" s="21"/>
      <c r="R46" s="21"/>
      <c r="S46" s="21"/>
      <c r="T46" s="21"/>
      <c r="U46" s="21"/>
      <c r="V46" s="21"/>
      <c r="W46" s="21"/>
      <c r="X46" s="21"/>
      <c r="Y46" s="21"/>
      <c r="Z46" s="21"/>
    </row>
    <row r="47" ht="15.75" customHeight="1">
      <c r="A47" s="13">
        <v>2015.0</v>
      </c>
      <c r="B47" s="13"/>
      <c r="C47" s="13">
        <v>13.0</v>
      </c>
      <c r="D47" s="11">
        <v>1.0</v>
      </c>
      <c r="E47" s="11"/>
      <c r="F47" s="11"/>
      <c r="G47" s="21"/>
      <c r="H47" s="21"/>
      <c r="I47" s="21"/>
      <c r="J47" s="21"/>
      <c r="K47" s="21"/>
      <c r="L47" s="21"/>
      <c r="M47" s="21"/>
      <c r="N47" s="21"/>
      <c r="O47" s="21"/>
      <c r="P47" s="21"/>
      <c r="Q47" s="21"/>
      <c r="R47" s="21"/>
      <c r="S47" s="21"/>
      <c r="T47" s="21"/>
      <c r="U47" s="21"/>
      <c r="V47" s="21"/>
      <c r="W47" s="21"/>
      <c r="X47" s="21"/>
      <c r="Y47" s="21"/>
      <c r="Z47" s="21"/>
    </row>
    <row r="48" ht="15.75" customHeight="1">
      <c r="A48" s="13">
        <v>2016.0</v>
      </c>
      <c r="B48" s="13"/>
      <c r="C48" s="13">
        <v>4.0</v>
      </c>
      <c r="D48" s="11"/>
      <c r="E48" s="11"/>
      <c r="F48" s="11"/>
      <c r="G48" s="21"/>
      <c r="H48" s="21"/>
      <c r="I48" s="21"/>
      <c r="J48" s="21"/>
      <c r="K48" s="21"/>
      <c r="L48" s="21"/>
      <c r="M48" s="21"/>
      <c r="N48" s="21"/>
      <c r="O48" s="21"/>
      <c r="P48" s="21"/>
      <c r="Q48" s="21"/>
      <c r="R48" s="21"/>
      <c r="S48" s="21"/>
      <c r="T48" s="21"/>
      <c r="U48" s="21"/>
      <c r="V48" s="21"/>
      <c r="W48" s="21"/>
      <c r="X48" s="21"/>
      <c r="Y48" s="21"/>
      <c r="Z48" s="21"/>
    </row>
    <row r="49" ht="15.75" customHeight="1">
      <c r="A49" s="22">
        <v>2017.0</v>
      </c>
      <c r="B49" s="22"/>
      <c r="C49" s="22"/>
      <c r="D49" s="23">
        <v>2.0</v>
      </c>
      <c r="E49" s="23"/>
      <c r="F49" s="23"/>
      <c r="G49" s="21"/>
      <c r="H49" s="21"/>
      <c r="I49" s="21"/>
      <c r="J49" s="21"/>
      <c r="K49" s="21"/>
      <c r="L49" s="21"/>
      <c r="M49" s="21"/>
      <c r="N49" s="21"/>
      <c r="O49" s="21"/>
      <c r="P49" s="21"/>
      <c r="Q49" s="21"/>
      <c r="R49" s="21"/>
      <c r="S49" s="21"/>
      <c r="T49" s="21"/>
      <c r="U49" s="21"/>
      <c r="V49" s="21"/>
      <c r="W49" s="21"/>
      <c r="X49" s="21"/>
      <c r="Y49" s="21"/>
      <c r="Z49" s="21"/>
    </row>
    <row r="50" ht="15.75" customHeight="1">
      <c r="A50" s="17" t="s">
        <v>201</v>
      </c>
      <c r="B50" s="17">
        <f t="shared" ref="B50:F50" si="1">SUM(B2:B49)</f>
        <v>151</v>
      </c>
      <c r="C50" s="17">
        <f t="shared" si="1"/>
        <v>236</v>
      </c>
      <c r="D50" s="17">
        <f t="shared" si="1"/>
        <v>75</v>
      </c>
      <c r="E50" s="17">
        <f t="shared" si="1"/>
        <v>41</v>
      </c>
      <c r="F50" s="17">
        <f t="shared" si="1"/>
        <v>11</v>
      </c>
      <c r="G50" s="21"/>
      <c r="H50" s="21"/>
      <c r="I50" s="21"/>
      <c r="J50" s="21"/>
      <c r="K50" s="21"/>
      <c r="L50" s="21"/>
      <c r="M50" s="21"/>
      <c r="N50" s="21"/>
      <c r="O50" s="21"/>
      <c r="P50" s="21"/>
      <c r="Q50" s="21"/>
      <c r="R50" s="21"/>
      <c r="S50" s="21"/>
      <c r="T50" s="21"/>
      <c r="U50" s="21"/>
      <c r="V50" s="21"/>
      <c r="W50" s="21"/>
      <c r="X50" s="21"/>
      <c r="Y50" s="21"/>
      <c r="Z50" s="21"/>
    </row>
    <row r="51" ht="15.75" customHeight="1">
      <c r="A51" s="24" t="s">
        <v>202</v>
      </c>
      <c r="B51" s="25"/>
      <c r="C51" s="25"/>
      <c r="D51" s="25"/>
      <c r="E51" s="25"/>
      <c r="F51" s="25"/>
      <c r="G51" s="21"/>
      <c r="H51" s="21"/>
      <c r="I51" s="21"/>
      <c r="J51" s="21"/>
      <c r="K51" s="21"/>
      <c r="L51" s="21"/>
      <c r="M51" s="21"/>
      <c r="N51" s="21"/>
      <c r="O51" s="21"/>
      <c r="P51" s="21"/>
      <c r="Q51" s="21"/>
      <c r="R51" s="21"/>
      <c r="S51" s="21"/>
      <c r="T51" s="21"/>
      <c r="U51" s="21"/>
      <c r="V51" s="21"/>
      <c r="W51" s="21"/>
      <c r="X51" s="21"/>
      <c r="Y51" s="21"/>
      <c r="Z51" s="21"/>
    </row>
    <row r="52" ht="15.75" customHeight="1">
      <c r="G52" s="21"/>
      <c r="H52" s="21"/>
      <c r="I52" s="21"/>
      <c r="J52" s="21"/>
      <c r="K52" s="21"/>
      <c r="L52" s="21"/>
      <c r="M52" s="21"/>
      <c r="N52" s="21"/>
      <c r="O52" s="21"/>
      <c r="P52" s="21"/>
      <c r="Q52" s="21"/>
      <c r="R52" s="21"/>
      <c r="S52" s="21"/>
      <c r="T52" s="21"/>
      <c r="U52" s="21"/>
      <c r="V52" s="21"/>
      <c r="W52" s="21"/>
      <c r="X52" s="21"/>
      <c r="Y52" s="21"/>
      <c r="Z52" s="21"/>
    </row>
    <row r="53" ht="15.75" customHeight="1">
      <c r="G53" s="21"/>
      <c r="H53" s="21"/>
      <c r="I53" s="21"/>
      <c r="J53" s="21"/>
      <c r="K53" s="21"/>
      <c r="L53" s="21"/>
      <c r="M53" s="21"/>
      <c r="N53" s="21"/>
      <c r="O53" s="21"/>
      <c r="P53" s="21"/>
      <c r="Q53" s="21"/>
      <c r="R53" s="21"/>
      <c r="S53" s="21"/>
      <c r="T53" s="21"/>
      <c r="U53" s="21"/>
      <c r="V53" s="21"/>
      <c r="W53" s="21"/>
      <c r="X53" s="21"/>
      <c r="Y53" s="21"/>
      <c r="Z53" s="21"/>
    </row>
    <row r="54" ht="3.0" customHeight="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1">
    <mergeCell ref="A51:F54"/>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4.43"/>
    <col customWidth="1" min="2" max="3" width="8.14"/>
    <col customWidth="1" min="4" max="4" width="12.57"/>
    <col customWidth="1" min="5" max="6" width="14.43"/>
    <col customWidth="1" min="7" max="7" width="16.14"/>
    <col customWidth="1" min="8" max="8" width="15.14"/>
    <col customWidth="1" min="9" max="9" width="9.29"/>
    <col customWidth="1" min="10" max="10" width="12.29"/>
    <col customWidth="1" min="11" max="11" width="12.71"/>
    <col customWidth="1" min="12" max="26" width="8.71"/>
  </cols>
  <sheetData>
    <row r="1">
      <c r="A1" s="26" t="s">
        <v>2</v>
      </c>
      <c r="B1" s="27" t="s">
        <v>203</v>
      </c>
      <c r="C1" s="27" t="s">
        <v>204</v>
      </c>
      <c r="D1" s="28" t="s">
        <v>205</v>
      </c>
      <c r="E1" s="28" t="s">
        <v>206</v>
      </c>
      <c r="F1" s="28" t="s">
        <v>207</v>
      </c>
      <c r="G1" s="29" t="s">
        <v>208</v>
      </c>
      <c r="H1" s="28" t="s">
        <v>209</v>
      </c>
      <c r="I1" s="28" t="s">
        <v>210</v>
      </c>
      <c r="J1" s="28" t="s">
        <v>211</v>
      </c>
      <c r="K1" s="28" t="s">
        <v>212</v>
      </c>
      <c r="L1" s="21"/>
      <c r="M1" s="21"/>
      <c r="N1" s="21"/>
      <c r="O1" s="21"/>
      <c r="P1" s="21"/>
      <c r="Q1" s="21"/>
      <c r="R1" s="21"/>
      <c r="S1" s="21"/>
      <c r="T1" s="21"/>
      <c r="U1" s="21"/>
      <c r="V1" s="21"/>
      <c r="W1" s="21"/>
      <c r="X1" s="21"/>
      <c r="Y1" s="21"/>
      <c r="Z1" s="21"/>
    </row>
    <row r="2">
      <c r="A2" s="30" t="s">
        <v>4</v>
      </c>
      <c r="B2" s="31">
        <v>1994.0</v>
      </c>
      <c r="C2" s="31">
        <v>1994.0</v>
      </c>
      <c r="D2" s="32" t="s">
        <v>213</v>
      </c>
      <c r="E2" s="33" t="s">
        <v>214</v>
      </c>
      <c r="F2" s="33" t="s">
        <v>214</v>
      </c>
      <c r="G2" s="33" t="s">
        <v>214</v>
      </c>
      <c r="H2" s="33">
        <v>7.615962</v>
      </c>
      <c r="I2" s="33" t="s">
        <v>214</v>
      </c>
      <c r="J2" s="33">
        <v>26.8</v>
      </c>
      <c r="K2" s="33" t="s">
        <v>214</v>
      </c>
      <c r="L2" s="21"/>
      <c r="M2" s="21"/>
      <c r="N2" s="21"/>
      <c r="O2" s="21"/>
      <c r="P2" s="21"/>
      <c r="Q2" s="21"/>
      <c r="R2" s="21"/>
      <c r="S2" s="21"/>
      <c r="T2" s="21"/>
      <c r="U2" s="21"/>
      <c r="V2" s="21"/>
      <c r="W2" s="21"/>
      <c r="X2" s="21"/>
      <c r="Y2" s="21"/>
      <c r="Z2" s="21"/>
    </row>
    <row r="3">
      <c r="A3" s="30" t="s">
        <v>5</v>
      </c>
      <c r="B3" s="31">
        <v>1990.0</v>
      </c>
      <c r="C3" s="34">
        <v>1994.0</v>
      </c>
      <c r="D3" s="33">
        <v>41.3922533</v>
      </c>
      <c r="E3" s="33" t="s">
        <v>214</v>
      </c>
      <c r="F3" s="33" t="s">
        <v>214</v>
      </c>
      <c r="G3" s="33" t="s">
        <v>214</v>
      </c>
      <c r="H3" s="33">
        <v>37.56032</v>
      </c>
      <c r="I3" s="33">
        <v>29.852459999999997</v>
      </c>
      <c r="J3" s="33">
        <v>30.0</v>
      </c>
      <c r="K3" s="33">
        <v>19.10056</v>
      </c>
      <c r="L3" s="21"/>
      <c r="M3" s="21"/>
      <c r="N3" s="21"/>
      <c r="O3" s="21"/>
      <c r="P3" s="21"/>
      <c r="Q3" s="21"/>
      <c r="R3" s="21"/>
      <c r="S3" s="21"/>
      <c r="T3" s="21"/>
      <c r="U3" s="21"/>
      <c r="V3" s="21"/>
      <c r="W3" s="21"/>
      <c r="X3" s="21"/>
      <c r="Y3" s="21"/>
      <c r="Z3" s="21"/>
    </row>
    <row r="4">
      <c r="A4" s="30" t="s">
        <v>7</v>
      </c>
      <c r="B4" s="31">
        <v>1980.0</v>
      </c>
      <c r="C4" s="34">
        <v>1982.0</v>
      </c>
      <c r="D4" s="33">
        <v>58.17123480000001</v>
      </c>
      <c r="E4" s="33">
        <v>55.1</v>
      </c>
      <c r="F4" s="33">
        <v>55.1</v>
      </c>
      <c r="G4" s="35">
        <v>213.8975067138672</v>
      </c>
      <c r="H4" s="33">
        <v>64.64586</v>
      </c>
      <c r="I4" s="33">
        <v>62.212250000000004</v>
      </c>
      <c r="J4" s="33">
        <v>9.0</v>
      </c>
      <c r="K4" s="33">
        <v>33.14739</v>
      </c>
      <c r="L4" s="21"/>
      <c r="M4" s="21"/>
      <c r="N4" s="21"/>
      <c r="O4" s="21"/>
      <c r="P4" s="21"/>
      <c r="Q4" s="21"/>
      <c r="R4" s="21"/>
      <c r="S4" s="21"/>
      <c r="T4" s="21"/>
      <c r="U4" s="21"/>
      <c r="V4" s="21"/>
      <c r="W4" s="21"/>
      <c r="X4" s="21"/>
      <c r="Y4" s="21"/>
      <c r="Z4" s="21"/>
    </row>
    <row r="5">
      <c r="A5" s="30" t="s">
        <v>7</v>
      </c>
      <c r="B5" s="31">
        <v>1989.0</v>
      </c>
      <c r="C5" s="31">
        <v>1991.0</v>
      </c>
      <c r="D5" s="33">
        <v>12.6299469</v>
      </c>
      <c r="E5" s="33">
        <v>6.0</v>
      </c>
      <c r="F5" s="33">
        <v>6.0</v>
      </c>
      <c r="G5" s="35">
        <v>21.606048583984375</v>
      </c>
      <c r="H5" s="33">
        <v>151.5721</v>
      </c>
      <c r="I5" s="33">
        <v>135.665</v>
      </c>
      <c r="J5" s="33">
        <v>27.0</v>
      </c>
      <c r="K5" s="33">
        <v>-21.29261</v>
      </c>
      <c r="L5" s="21"/>
      <c r="M5" s="21"/>
      <c r="N5" s="21"/>
      <c r="O5" s="21"/>
      <c r="P5" s="21"/>
      <c r="Q5" s="21"/>
      <c r="R5" s="21"/>
      <c r="S5" s="21"/>
      <c r="T5" s="21"/>
      <c r="U5" s="21"/>
      <c r="V5" s="21"/>
      <c r="W5" s="21"/>
      <c r="X5" s="21"/>
      <c r="Y5" s="21"/>
      <c r="Z5" s="21"/>
    </row>
    <row r="6">
      <c r="A6" s="36" t="s">
        <v>215</v>
      </c>
      <c r="B6" s="31">
        <v>1995.0</v>
      </c>
      <c r="C6" s="31">
        <v>1995.0</v>
      </c>
      <c r="D6" s="33">
        <v>0.0</v>
      </c>
      <c r="E6" s="33">
        <v>2.0</v>
      </c>
      <c r="F6" s="33">
        <v>2.0</v>
      </c>
      <c r="G6" s="35">
        <v>8.550662994384766</v>
      </c>
      <c r="H6" s="33">
        <v>71.3528</v>
      </c>
      <c r="I6" s="33">
        <v>62.997659999999996</v>
      </c>
      <c r="J6" s="33">
        <v>17.0</v>
      </c>
      <c r="K6" s="33">
        <v>8.69467</v>
      </c>
      <c r="L6" s="21"/>
      <c r="M6" s="21"/>
      <c r="N6" s="21"/>
      <c r="O6" s="21"/>
      <c r="P6" s="21"/>
      <c r="Q6" s="21"/>
      <c r="R6" s="21"/>
      <c r="S6" s="21"/>
      <c r="T6" s="21"/>
      <c r="U6" s="21"/>
      <c r="V6" s="21"/>
      <c r="W6" s="21"/>
      <c r="X6" s="21"/>
      <c r="Y6" s="21"/>
      <c r="Z6" s="21"/>
    </row>
    <row r="7">
      <c r="A7" s="30" t="s">
        <v>7</v>
      </c>
      <c r="B7" s="31">
        <v>2001.0</v>
      </c>
      <c r="C7" s="31">
        <v>2003.0</v>
      </c>
      <c r="D7" s="33">
        <v>70.9741988</v>
      </c>
      <c r="E7" s="33">
        <v>9.6</v>
      </c>
      <c r="F7" s="33">
        <v>9.58466453674121</v>
      </c>
      <c r="G7" s="35">
        <v>28.09482192993164</v>
      </c>
      <c r="H7" s="33">
        <v>22.85839</v>
      </c>
      <c r="I7" s="33">
        <v>22.64661</v>
      </c>
      <c r="J7" s="33">
        <v>20.1</v>
      </c>
      <c r="K7" s="33">
        <v>81.88721</v>
      </c>
      <c r="L7" s="21"/>
      <c r="M7" s="21"/>
      <c r="N7" s="21"/>
      <c r="O7" s="21"/>
      <c r="P7" s="21"/>
      <c r="Q7" s="21"/>
      <c r="R7" s="21"/>
      <c r="S7" s="21"/>
      <c r="T7" s="21"/>
      <c r="U7" s="21"/>
      <c r="V7" s="21"/>
      <c r="W7" s="21"/>
      <c r="X7" s="21"/>
      <c r="Y7" s="21"/>
      <c r="Z7" s="21"/>
    </row>
    <row r="8">
      <c r="A8" s="36" t="s">
        <v>216</v>
      </c>
      <c r="B8" s="31">
        <v>1994.0</v>
      </c>
      <c r="C8" s="34">
        <v>1994.0</v>
      </c>
      <c r="D8" s="33" t="s">
        <v>213</v>
      </c>
      <c r="E8" s="33" t="s">
        <v>214</v>
      </c>
      <c r="F8" s="33" t="s">
        <v>214</v>
      </c>
      <c r="G8" s="33" t="s">
        <v>214</v>
      </c>
      <c r="H8" s="33">
        <v>41.37691</v>
      </c>
      <c r="I8" s="33">
        <v>22.994020000000003</v>
      </c>
      <c r="J8" s="33" t="s">
        <v>214</v>
      </c>
      <c r="K8" s="33" t="s">
        <v>214</v>
      </c>
      <c r="L8" s="21"/>
      <c r="M8" s="21"/>
      <c r="N8" s="21"/>
      <c r="O8" s="21"/>
      <c r="P8" s="21"/>
      <c r="Q8" s="21"/>
      <c r="R8" s="21"/>
      <c r="S8" s="21"/>
      <c r="T8" s="21"/>
      <c r="U8" s="21"/>
      <c r="V8" s="21"/>
      <c r="W8" s="21"/>
      <c r="X8" s="21"/>
      <c r="Y8" s="21"/>
      <c r="Z8" s="21"/>
    </row>
    <row r="9">
      <c r="A9" s="30" t="s">
        <v>11</v>
      </c>
      <c r="B9" s="31">
        <v>2008.0</v>
      </c>
      <c r="C9" s="34">
        <v>2012.0</v>
      </c>
      <c r="D9" s="33">
        <v>19.215918</v>
      </c>
      <c r="E9" s="33">
        <f>+'Additional Details'!F47*100</f>
        <v>5.15</v>
      </c>
      <c r="F9" s="33">
        <v>1.6399999999999997</v>
      </c>
      <c r="G9" s="35">
        <v>1.6435314416885376</v>
      </c>
      <c r="H9" s="33">
        <v>10.02</v>
      </c>
      <c r="I9" s="33">
        <v>6.41</v>
      </c>
      <c r="J9" s="33">
        <f>+'Additional Details'!F45*100</f>
        <v>4.1</v>
      </c>
      <c r="K9" s="33">
        <v>19.8</v>
      </c>
      <c r="L9" s="21"/>
      <c r="M9" s="21"/>
      <c r="N9" s="21"/>
      <c r="O9" s="21"/>
      <c r="P9" s="21"/>
      <c r="Q9" s="21"/>
      <c r="R9" s="21"/>
      <c r="S9" s="21"/>
      <c r="T9" s="21"/>
      <c r="U9" s="21"/>
      <c r="V9" s="21"/>
      <c r="W9" s="21"/>
      <c r="X9" s="21"/>
      <c r="Y9" s="21"/>
      <c r="Z9" s="21"/>
    </row>
    <row r="10">
      <c r="A10" s="30" t="s">
        <v>217</v>
      </c>
      <c r="B10" s="31">
        <v>1995.0</v>
      </c>
      <c r="C10" s="34">
        <v>1995.0</v>
      </c>
      <c r="D10" s="33" t="s">
        <v>214</v>
      </c>
      <c r="E10" s="33" t="s">
        <v>214</v>
      </c>
      <c r="F10" s="33" t="s">
        <v>214</v>
      </c>
      <c r="G10" s="33" t="s">
        <v>214</v>
      </c>
      <c r="H10" s="33">
        <v>127.5802</v>
      </c>
      <c r="I10" s="33">
        <v>84.46377000000001</v>
      </c>
      <c r="J10" s="33" t="s">
        <v>214</v>
      </c>
      <c r="K10" s="33">
        <v>0.8960299999999999</v>
      </c>
      <c r="L10" s="21"/>
      <c r="M10" s="21"/>
      <c r="N10" s="21"/>
      <c r="O10" s="21"/>
      <c r="P10" s="21"/>
      <c r="Q10" s="21"/>
      <c r="R10" s="21"/>
      <c r="S10" s="21"/>
      <c r="T10" s="21"/>
      <c r="U10" s="21"/>
      <c r="V10" s="21"/>
      <c r="W10" s="21"/>
      <c r="X10" s="21"/>
      <c r="Y10" s="21"/>
      <c r="Z10" s="21"/>
    </row>
    <row r="11">
      <c r="A11" s="30" t="s">
        <v>13</v>
      </c>
      <c r="B11" s="31">
        <v>1987.0</v>
      </c>
      <c r="C11" s="31">
        <v>1987.0</v>
      </c>
      <c r="D11" s="33">
        <v>0.0</v>
      </c>
      <c r="E11" s="33" t="s">
        <v>214</v>
      </c>
      <c r="F11" s="33" t="s">
        <v>214</v>
      </c>
      <c r="G11" s="33" t="s">
        <v>214</v>
      </c>
      <c r="H11" s="33">
        <v>25.96208</v>
      </c>
      <c r="I11" s="33">
        <v>2.82342</v>
      </c>
      <c r="J11" s="33">
        <v>20.0</v>
      </c>
      <c r="K11" s="33">
        <v>3.4758999999999998</v>
      </c>
      <c r="L11" s="21"/>
      <c r="M11" s="21"/>
      <c r="N11" s="21"/>
      <c r="O11" s="21"/>
      <c r="P11" s="21"/>
      <c r="Q11" s="21"/>
      <c r="R11" s="21"/>
      <c r="S11" s="21"/>
      <c r="T11" s="21"/>
      <c r="U11" s="21"/>
      <c r="V11" s="21"/>
      <c r="W11" s="21"/>
      <c r="X11" s="21"/>
      <c r="Y11" s="21"/>
      <c r="Z11" s="21"/>
    </row>
    <row r="12">
      <c r="A12" s="30" t="s">
        <v>218</v>
      </c>
      <c r="B12" s="31">
        <v>1995.0</v>
      </c>
      <c r="C12" s="31">
        <v>1995.0</v>
      </c>
      <c r="D12" s="33" t="s">
        <v>214</v>
      </c>
      <c r="E12" s="33" t="s">
        <v>214</v>
      </c>
      <c r="F12" s="33" t="s">
        <v>214</v>
      </c>
      <c r="G12" s="33" t="s">
        <v>214</v>
      </c>
      <c r="H12" s="33">
        <v>35.7598</v>
      </c>
      <c r="I12" s="33" t="s">
        <v>214</v>
      </c>
      <c r="J12" s="33" t="s">
        <v>214</v>
      </c>
      <c r="K12" s="33">
        <v>-16.45655</v>
      </c>
      <c r="L12" s="21"/>
      <c r="M12" s="21"/>
      <c r="N12" s="21"/>
      <c r="O12" s="21"/>
      <c r="P12" s="21"/>
      <c r="Q12" s="21"/>
      <c r="R12" s="21"/>
      <c r="S12" s="21"/>
      <c r="T12" s="21"/>
      <c r="U12" s="21"/>
      <c r="V12" s="21"/>
      <c r="W12" s="21"/>
      <c r="X12" s="21"/>
      <c r="Y12" s="21"/>
      <c r="Z12" s="21"/>
    </row>
    <row r="13">
      <c r="A13" s="30" t="s">
        <v>16</v>
      </c>
      <c r="B13" s="31">
        <v>2008.0</v>
      </c>
      <c r="C13" s="34">
        <v>2012.0</v>
      </c>
      <c r="D13" s="33">
        <v>15.732718</v>
      </c>
      <c r="E13" s="33">
        <f>+'Additional Details'!G47*100</f>
        <v>6.15</v>
      </c>
      <c r="F13" s="33">
        <v>0.45999999999999996</v>
      </c>
      <c r="G13" s="35">
        <v>1.6283828020095825</v>
      </c>
      <c r="H13" s="33">
        <v>13.69</v>
      </c>
      <c r="I13" s="33">
        <v>9.67</v>
      </c>
      <c r="J13" s="33">
        <f>100*'Additional Details'!G45</f>
        <v>4.24</v>
      </c>
      <c r="K13" s="33">
        <v>22.2</v>
      </c>
      <c r="L13" s="21"/>
      <c r="M13" s="21"/>
      <c r="N13" s="21"/>
      <c r="O13" s="21"/>
      <c r="P13" s="21"/>
      <c r="Q13" s="21"/>
      <c r="R13" s="21"/>
      <c r="S13" s="21"/>
      <c r="T13" s="21"/>
      <c r="U13" s="21"/>
      <c r="V13" s="21"/>
      <c r="W13" s="21"/>
      <c r="X13" s="21"/>
      <c r="Y13" s="21"/>
      <c r="Z13" s="21"/>
    </row>
    <row r="14">
      <c r="A14" s="30" t="s">
        <v>18</v>
      </c>
      <c r="B14" s="31">
        <v>1988.0</v>
      </c>
      <c r="C14" s="34">
        <v>1992.0</v>
      </c>
      <c r="D14" s="33">
        <v>14.9175882</v>
      </c>
      <c r="E14" s="33">
        <v>17.0</v>
      </c>
      <c r="F14" s="33" t="s">
        <v>214</v>
      </c>
      <c r="G14" s="35">
        <v>64.32084655761719</v>
      </c>
      <c r="H14" s="33">
        <v>99.64091</v>
      </c>
      <c r="I14" s="33">
        <v>48.624410000000005</v>
      </c>
      <c r="J14" s="33">
        <v>80.0</v>
      </c>
      <c r="K14" s="33">
        <v>5.6780100000000004</v>
      </c>
      <c r="L14" s="21"/>
      <c r="M14" s="21"/>
      <c r="N14" s="21"/>
      <c r="O14" s="21"/>
      <c r="P14" s="21"/>
      <c r="Q14" s="21"/>
      <c r="R14" s="21"/>
      <c r="S14" s="21"/>
      <c r="T14" s="21"/>
      <c r="U14" s="21"/>
      <c r="V14" s="21"/>
      <c r="W14" s="21"/>
      <c r="X14" s="21"/>
      <c r="Y14" s="21"/>
      <c r="Z14" s="21"/>
    </row>
    <row r="15">
      <c r="A15" s="30" t="s">
        <v>20</v>
      </c>
      <c r="B15" s="31">
        <v>1986.0</v>
      </c>
      <c r="C15" s="31">
        <v>1986.0</v>
      </c>
      <c r="D15" s="33">
        <v>49.1917352</v>
      </c>
      <c r="E15" s="33" t="s">
        <v>214</v>
      </c>
      <c r="F15" s="33" t="s">
        <v>214</v>
      </c>
      <c r="G15" s="35" t="s">
        <v>214</v>
      </c>
      <c r="H15" s="33">
        <v>57.52545</v>
      </c>
      <c r="I15" s="33">
        <v>25.924819999999997</v>
      </c>
      <c r="J15" s="33">
        <v>30.0</v>
      </c>
      <c r="K15" s="33">
        <v>-107.2825</v>
      </c>
      <c r="L15" s="21"/>
      <c r="M15" s="21"/>
      <c r="N15" s="21"/>
      <c r="O15" s="21"/>
      <c r="P15" s="21"/>
      <c r="Q15" s="21"/>
      <c r="R15" s="21"/>
      <c r="S15" s="21"/>
      <c r="T15" s="21"/>
      <c r="U15" s="21"/>
      <c r="V15" s="21"/>
      <c r="W15" s="21"/>
      <c r="X15" s="21"/>
      <c r="Y15" s="21"/>
      <c r="Z15" s="21"/>
    </row>
    <row r="16">
      <c r="A16" s="30" t="s">
        <v>20</v>
      </c>
      <c r="B16" s="31">
        <v>1994.0</v>
      </c>
      <c r="C16" s="31">
        <v>1994.0</v>
      </c>
      <c r="D16" s="33">
        <v>0.0</v>
      </c>
      <c r="E16" s="33">
        <v>6.0</v>
      </c>
      <c r="F16" s="33">
        <v>2.6533333333333338</v>
      </c>
      <c r="G16" s="35">
        <v>15.193718910217285</v>
      </c>
      <c r="H16" s="33">
        <v>31.92642</v>
      </c>
      <c r="I16" s="33">
        <v>12.89265</v>
      </c>
      <c r="J16" s="33">
        <v>6.2</v>
      </c>
      <c r="K16" s="33">
        <v>-19.210720000000002</v>
      </c>
      <c r="L16" s="21"/>
      <c r="M16" s="21"/>
      <c r="N16" s="21"/>
      <c r="O16" s="21"/>
      <c r="P16" s="21"/>
      <c r="Q16" s="21"/>
      <c r="R16" s="21"/>
      <c r="S16" s="21"/>
      <c r="T16" s="21"/>
      <c r="U16" s="21"/>
      <c r="V16" s="21"/>
      <c r="W16" s="21"/>
      <c r="X16" s="21"/>
      <c r="Y16" s="21"/>
      <c r="Z16" s="21"/>
    </row>
    <row r="17">
      <c r="A17" s="30" t="s">
        <v>219</v>
      </c>
      <c r="B17" s="31">
        <v>1992.0</v>
      </c>
      <c r="C17" s="37" t="s">
        <v>220</v>
      </c>
      <c r="D17" s="33" t="s">
        <v>214</v>
      </c>
      <c r="E17" s="33" t="s">
        <v>214</v>
      </c>
      <c r="F17" s="33" t="s">
        <v>214</v>
      </c>
      <c r="G17" s="35" t="s">
        <v>214</v>
      </c>
      <c r="H17" s="33" t="s">
        <v>214</v>
      </c>
      <c r="I17" s="33" t="s">
        <v>214</v>
      </c>
      <c r="J17" s="33" t="s">
        <v>214</v>
      </c>
      <c r="K17" s="33" t="s">
        <v>214</v>
      </c>
      <c r="L17" s="21"/>
      <c r="M17" s="21"/>
      <c r="N17" s="21"/>
      <c r="O17" s="21"/>
      <c r="P17" s="21"/>
      <c r="Q17" s="21"/>
      <c r="R17" s="21"/>
      <c r="S17" s="21"/>
      <c r="T17" s="21"/>
      <c r="U17" s="21"/>
      <c r="V17" s="21"/>
      <c r="W17" s="21"/>
      <c r="X17" s="21"/>
      <c r="Y17" s="21"/>
      <c r="Z17" s="21"/>
    </row>
    <row r="18">
      <c r="A18" s="36" t="s">
        <v>221</v>
      </c>
      <c r="B18" s="31">
        <v>1990.0</v>
      </c>
      <c r="C18" s="34">
        <v>1994.0</v>
      </c>
      <c r="D18" s="33">
        <v>62.295604299999994</v>
      </c>
      <c r="E18" s="33">
        <v>0.0</v>
      </c>
      <c r="F18" s="33">
        <v>0.0</v>
      </c>
      <c r="G18" s="35">
        <v>0.0</v>
      </c>
      <c r="H18" s="33">
        <v>11.26261</v>
      </c>
      <c r="I18" s="33">
        <v>10.71347</v>
      </c>
      <c r="J18" s="33" t="s">
        <v>214</v>
      </c>
      <c r="K18" s="33">
        <v>-22.64</v>
      </c>
      <c r="L18" s="21"/>
      <c r="M18" s="21"/>
      <c r="N18" s="21"/>
      <c r="O18" s="21"/>
      <c r="P18" s="21"/>
      <c r="Q18" s="21"/>
      <c r="R18" s="21"/>
      <c r="S18" s="21"/>
      <c r="T18" s="21"/>
      <c r="U18" s="21"/>
      <c r="V18" s="21"/>
      <c r="W18" s="21"/>
      <c r="X18" s="21"/>
      <c r="Y18" s="21"/>
      <c r="Z18" s="21"/>
    </row>
    <row r="19">
      <c r="A19" s="30" t="s">
        <v>24</v>
      </c>
      <c r="B19" s="31">
        <v>1994.0</v>
      </c>
      <c r="C19" s="31">
        <v>1998.0</v>
      </c>
      <c r="D19" s="33">
        <v>0.0</v>
      </c>
      <c r="E19" s="33">
        <v>13.200000000000001</v>
      </c>
      <c r="F19" s="33">
        <v>10.200000000000001</v>
      </c>
      <c r="G19" s="35">
        <v>28.596187591552734</v>
      </c>
      <c r="H19" s="33">
        <v>20.11846</v>
      </c>
      <c r="I19" s="33">
        <v>17.61162</v>
      </c>
      <c r="J19" s="33">
        <v>16.0</v>
      </c>
      <c r="K19" s="33">
        <v>-33.77793</v>
      </c>
      <c r="L19" s="21"/>
      <c r="M19" s="21"/>
      <c r="N19" s="21"/>
      <c r="O19" s="21"/>
      <c r="P19" s="21"/>
      <c r="Q19" s="21"/>
      <c r="R19" s="21"/>
      <c r="S19" s="21"/>
      <c r="T19" s="21"/>
      <c r="U19" s="21"/>
      <c r="V19" s="21"/>
      <c r="W19" s="21"/>
      <c r="X19" s="21"/>
      <c r="Y19" s="21"/>
      <c r="Z19" s="21"/>
    </row>
    <row r="20">
      <c r="A20" s="30" t="s">
        <v>27</v>
      </c>
      <c r="B20" s="31">
        <v>1996.0</v>
      </c>
      <c r="C20" s="31">
        <v>1997.0</v>
      </c>
      <c r="D20" s="33">
        <v>59.5104933</v>
      </c>
      <c r="E20" s="33">
        <v>14.000000000000002</v>
      </c>
      <c r="F20" s="33">
        <v>13.900000000000002</v>
      </c>
      <c r="G20" s="35">
        <v>21.37078285217285</v>
      </c>
      <c r="H20" s="33">
        <v>17.30571</v>
      </c>
      <c r="I20" s="33">
        <v>9.93675</v>
      </c>
      <c r="J20" s="33">
        <v>75.0</v>
      </c>
      <c r="K20" s="33">
        <v>-30.079729999999998</v>
      </c>
      <c r="L20" s="21"/>
      <c r="M20" s="21"/>
      <c r="N20" s="21"/>
      <c r="O20" s="21"/>
      <c r="P20" s="21"/>
      <c r="Q20" s="21"/>
      <c r="R20" s="21"/>
      <c r="S20" s="21"/>
      <c r="T20" s="21"/>
      <c r="U20" s="21"/>
      <c r="V20" s="21"/>
      <c r="W20" s="21"/>
      <c r="X20" s="21"/>
      <c r="Y20" s="21"/>
      <c r="Z20" s="21"/>
    </row>
    <row r="21" ht="15.75" customHeight="1">
      <c r="A21" s="30" t="s">
        <v>28</v>
      </c>
      <c r="B21" s="31">
        <v>1990.0</v>
      </c>
      <c r="C21" s="31">
        <v>1994.0</v>
      </c>
      <c r="D21" s="33" t="s">
        <v>214</v>
      </c>
      <c r="E21" s="33" t="s">
        <v>214</v>
      </c>
      <c r="F21" s="33" t="s">
        <v>214</v>
      </c>
      <c r="G21" s="33" t="s">
        <v>214</v>
      </c>
      <c r="H21" s="33">
        <v>9.3824</v>
      </c>
      <c r="I21" s="33">
        <v>4.51769</v>
      </c>
      <c r="J21" s="33">
        <v>16.0</v>
      </c>
      <c r="K21" s="33">
        <v>8.92432</v>
      </c>
      <c r="L21" s="21"/>
      <c r="M21" s="21"/>
      <c r="N21" s="21"/>
      <c r="O21" s="21"/>
      <c r="P21" s="21"/>
      <c r="Q21" s="21"/>
      <c r="R21" s="21"/>
      <c r="S21" s="21"/>
      <c r="T21" s="21"/>
      <c r="U21" s="21"/>
      <c r="V21" s="21"/>
      <c r="W21" s="21"/>
      <c r="X21" s="21"/>
      <c r="Y21" s="21"/>
      <c r="Z21" s="21"/>
    </row>
    <row r="22" ht="15.75" customHeight="1">
      <c r="A22" s="30" t="s">
        <v>29</v>
      </c>
      <c r="B22" s="31">
        <v>1994.0</v>
      </c>
      <c r="C22" s="34">
        <v>1998.0</v>
      </c>
      <c r="D22" s="33">
        <v>121.19200169999999</v>
      </c>
      <c r="E22" s="33" t="s">
        <v>214</v>
      </c>
      <c r="F22" s="33" t="s">
        <v>214</v>
      </c>
      <c r="G22" s="33" t="s">
        <v>214</v>
      </c>
      <c r="H22" s="33">
        <v>23.44168</v>
      </c>
      <c r="I22" s="33">
        <v>18.25261</v>
      </c>
      <c r="J22" s="33">
        <v>25.0</v>
      </c>
      <c r="K22" s="33">
        <v>10.85286</v>
      </c>
      <c r="L22" s="21"/>
      <c r="M22" s="21"/>
      <c r="N22" s="21"/>
      <c r="O22" s="21"/>
      <c r="P22" s="21"/>
      <c r="Q22" s="21"/>
      <c r="R22" s="21"/>
      <c r="S22" s="21"/>
      <c r="T22" s="21"/>
      <c r="U22" s="21"/>
      <c r="V22" s="21"/>
      <c r="W22" s="21"/>
      <c r="X22" s="21"/>
      <c r="Y22" s="21"/>
      <c r="Z22" s="21"/>
    </row>
    <row r="23" ht="15.75" customHeight="1">
      <c r="A23" s="30" t="s">
        <v>31</v>
      </c>
      <c r="B23" s="31">
        <v>1987.0</v>
      </c>
      <c r="C23" s="34">
        <v>1991.0</v>
      </c>
      <c r="D23" s="33">
        <v>105.52664</v>
      </c>
      <c r="E23" s="33" t="s">
        <v>214</v>
      </c>
      <c r="F23" s="33" t="s">
        <v>214</v>
      </c>
      <c r="G23" s="33" t="s">
        <v>214</v>
      </c>
      <c r="H23" s="33">
        <v>59.10603</v>
      </c>
      <c r="I23" s="33">
        <v>40.851749999999996</v>
      </c>
      <c r="J23" s="33">
        <v>65.0</v>
      </c>
      <c r="K23" s="33">
        <v>17.966920000000002</v>
      </c>
      <c r="L23" s="21"/>
      <c r="M23" s="21"/>
      <c r="N23" s="21"/>
      <c r="O23" s="21"/>
      <c r="P23" s="21"/>
      <c r="Q23" s="21"/>
      <c r="R23" s="21"/>
      <c r="S23" s="21"/>
      <c r="T23" s="21"/>
      <c r="U23" s="21"/>
      <c r="V23" s="21"/>
      <c r="W23" s="21"/>
      <c r="X23" s="21"/>
      <c r="Y23" s="21"/>
      <c r="Z23" s="21"/>
    </row>
    <row r="24" ht="15.75" customHeight="1">
      <c r="A24" s="30" t="s">
        <v>31</v>
      </c>
      <c r="B24" s="31">
        <v>1995.0</v>
      </c>
      <c r="C24" s="31">
        <v>1997.0</v>
      </c>
      <c r="D24" s="33">
        <v>8.098251900000001</v>
      </c>
      <c r="E24" s="33" t="s">
        <v>214</v>
      </c>
      <c r="F24" s="33" t="s">
        <v>214</v>
      </c>
      <c r="G24" s="33" t="s">
        <v>214</v>
      </c>
      <c r="H24" s="33">
        <v>12.31134</v>
      </c>
      <c r="I24" s="33">
        <v>6.16095</v>
      </c>
      <c r="J24" s="33">
        <v>30.0</v>
      </c>
      <c r="K24" s="33">
        <v>-1.06627</v>
      </c>
      <c r="L24" s="21"/>
      <c r="M24" s="21"/>
      <c r="N24" s="21"/>
      <c r="O24" s="21"/>
      <c r="P24" s="21"/>
      <c r="Q24" s="21"/>
      <c r="R24" s="21"/>
      <c r="S24" s="21"/>
      <c r="T24" s="21"/>
      <c r="U24" s="21"/>
      <c r="V24" s="21"/>
      <c r="W24" s="21"/>
      <c r="X24" s="21"/>
      <c r="Y24" s="21"/>
      <c r="Z24" s="21"/>
    </row>
    <row r="25" ht="15.75" customHeight="1">
      <c r="A25" s="30" t="s">
        <v>34</v>
      </c>
      <c r="B25" s="31">
        <v>1993.0</v>
      </c>
      <c r="C25" s="31">
        <v>1993.0</v>
      </c>
      <c r="D25" s="33">
        <v>0.0</v>
      </c>
      <c r="E25" s="33" t="s">
        <v>214</v>
      </c>
      <c r="F25" s="33" t="s">
        <v>214</v>
      </c>
      <c r="G25" s="33" t="s">
        <v>214</v>
      </c>
      <c r="H25" s="33">
        <v>3.9674469999999995</v>
      </c>
      <c r="I25" s="33" t="s">
        <v>214</v>
      </c>
      <c r="J25" s="33">
        <v>30.0</v>
      </c>
      <c r="K25" s="33">
        <v>18.15971</v>
      </c>
      <c r="L25" s="21"/>
      <c r="M25" s="21"/>
      <c r="N25" s="21"/>
      <c r="O25" s="21"/>
      <c r="P25" s="21"/>
      <c r="Q25" s="21"/>
      <c r="R25" s="21"/>
      <c r="S25" s="21"/>
      <c r="T25" s="21"/>
      <c r="U25" s="21"/>
      <c r="V25" s="21"/>
      <c r="W25" s="21"/>
      <c r="X25" s="21"/>
      <c r="Y25" s="21"/>
      <c r="Z25" s="21"/>
    </row>
    <row r="26" ht="15.75" customHeight="1">
      <c r="A26" s="30" t="s">
        <v>222</v>
      </c>
      <c r="B26" s="31">
        <v>1976.0</v>
      </c>
      <c r="C26" s="31">
        <v>1976.0</v>
      </c>
      <c r="D26" s="33">
        <v>0.0</v>
      </c>
      <c r="E26" s="33" t="s">
        <v>214</v>
      </c>
      <c r="F26" s="33" t="s">
        <v>214</v>
      </c>
      <c r="G26" s="33" t="s">
        <v>214</v>
      </c>
      <c r="H26" s="33">
        <v>90.84164</v>
      </c>
      <c r="I26" s="33">
        <v>10.4593</v>
      </c>
      <c r="J26" s="33" t="s">
        <v>214</v>
      </c>
      <c r="K26" s="33">
        <v>-4.77751</v>
      </c>
      <c r="L26" s="21"/>
      <c r="M26" s="21"/>
      <c r="N26" s="21"/>
      <c r="O26" s="21"/>
      <c r="P26" s="21"/>
      <c r="Q26" s="21"/>
      <c r="R26" s="21"/>
      <c r="S26" s="21"/>
      <c r="T26" s="21"/>
      <c r="U26" s="21"/>
      <c r="V26" s="21"/>
      <c r="W26" s="21"/>
      <c r="X26" s="21"/>
      <c r="Y26" s="21"/>
      <c r="Z26" s="21"/>
    </row>
    <row r="27" ht="15.75" customHeight="1">
      <c r="A27" s="30" t="s">
        <v>222</v>
      </c>
      <c r="B27" s="31">
        <v>1995.0</v>
      </c>
      <c r="C27" s="31">
        <v>1996.0</v>
      </c>
      <c r="D27" s="33">
        <v>8.9569594</v>
      </c>
      <c r="E27" s="33" t="s">
        <v>214</v>
      </c>
      <c r="F27" s="33" t="s">
        <v>214</v>
      </c>
      <c r="G27" s="33" t="s">
        <v>214</v>
      </c>
      <c r="H27" s="33">
        <v>24.83221</v>
      </c>
      <c r="I27" s="33">
        <v>20.94306</v>
      </c>
      <c r="J27" s="33">
        <v>40.0</v>
      </c>
      <c r="K27" s="33">
        <v>-16.26852</v>
      </c>
      <c r="L27" s="21"/>
      <c r="M27" s="21"/>
      <c r="N27" s="21"/>
      <c r="O27" s="21"/>
      <c r="P27" s="21"/>
      <c r="Q27" s="21"/>
      <c r="R27" s="21"/>
      <c r="S27" s="21"/>
      <c r="T27" s="21"/>
      <c r="U27" s="21"/>
      <c r="V27" s="21"/>
      <c r="W27" s="21"/>
      <c r="X27" s="21"/>
      <c r="Y27" s="21"/>
      <c r="Z27" s="21"/>
    </row>
    <row r="28" ht="15.75" customHeight="1">
      <c r="A28" s="30" t="s">
        <v>37</v>
      </c>
      <c r="B28" s="31">
        <v>1983.0</v>
      </c>
      <c r="C28" s="31">
        <v>1983.0</v>
      </c>
      <c r="D28" s="33">
        <v>0.0</v>
      </c>
      <c r="E28" s="33" t="s">
        <v>214</v>
      </c>
      <c r="F28" s="33" t="s">
        <v>214</v>
      </c>
      <c r="G28" s="33" t="s">
        <v>214</v>
      </c>
      <c r="H28" s="33">
        <v>199.305</v>
      </c>
      <c r="I28" s="33">
        <v>41.314679999999996</v>
      </c>
      <c r="J28" s="33" t="s">
        <v>214</v>
      </c>
      <c r="K28" s="33">
        <v>-7.16883</v>
      </c>
      <c r="L28" s="21"/>
      <c r="M28" s="21"/>
      <c r="N28" s="21"/>
      <c r="O28" s="21"/>
      <c r="P28" s="21"/>
      <c r="Q28" s="21"/>
      <c r="R28" s="21"/>
      <c r="S28" s="21"/>
      <c r="T28" s="21"/>
      <c r="U28" s="21"/>
      <c r="V28" s="21"/>
      <c r="W28" s="21"/>
      <c r="X28" s="21"/>
      <c r="Y28" s="21"/>
      <c r="Z28" s="21"/>
    </row>
    <row r="29" ht="15.75" customHeight="1">
      <c r="A29" s="30" t="s">
        <v>37</v>
      </c>
      <c r="B29" s="31">
        <v>1992.0</v>
      </c>
      <c r="C29" s="34">
        <v>1996.0</v>
      </c>
      <c r="D29" s="33">
        <v>0.0</v>
      </c>
      <c r="E29" s="33" t="s">
        <v>214</v>
      </c>
      <c r="F29" s="33" t="s">
        <v>214</v>
      </c>
      <c r="G29" s="33" t="s">
        <v>214</v>
      </c>
      <c r="H29" s="33">
        <v>120.8667</v>
      </c>
      <c r="I29" s="33">
        <v>41.38313</v>
      </c>
      <c r="J29" s="33">
        <v>35.0</v>
      </c>
      <c r="K29" s="33">
        <v>27.0806</v>
      </c>
      <c r="L29" s="21"/>
      <c r="M29" s="21"/>
      <c r="N29" s="21"/>
      <c r="O29" s="21"/>
      <c r="P29" s="21"/>
      <c r="Q29" s="21"/>
      <c r="R29" s="21"/>
      <c r="S29" s="21"/>
      <c r="T29" s="21"/>
      <c r="U29" s="21"/>
      <c r="V29" s="21"/>
      <c r="W29" s="21"/>
      <c r="X29" s="21"/>
      <c r="Y29" s="21"/>
      <c r="Z29" s="21"/>
    </row>
    <row r="30" ht="15.75" customHeight="1">
      <c r="A30" s="30" t="s">
        <v>39</v>
      </c>
      <c r="B30" s="31">
        <v>1976.0</v>
      </c>
      <c r="C30" s="31">
        <v>1976.0</v>
      </c>
      <c r="D30" s="33">
        <v>19.898550200000003</v>
      </c>
      <c r="E30" s="33" t="s">
        <v>214</v>
      </c>
      <c r="F30" s="33" t="s">
        <v>214</v>
      </c>
      <c r="G30" s="33" t="s">
        <v>214</v>
      </c>
      <c r="H30" s="33">
        <v>32.20038</v>
      </c>
      <c r="I30" s="33">
        <v>23.636960000000002</v>
      </c>
      <c r="J30" s="33" t="s">
        <v>214</v>
      </c>
      <c r="K30" s="33">
        <v>-69.52382</v>
      </c>
      <c r="L30" s="21"/>
      <c r="M30" s="21"/>
      <c r="N30" s="21"/>
      <c r="O30" s="21"/>
      <c r="P30" s="21"/>
      <c r="Q30" s="21"/>
      <c r="R30" s="21"/>
      <c r="S30" s="21"/>
      <c r="T30" s="21"/>
      <c r="U30" s="21"/>
      <c r="V30" s="21"/>
      <c r="W30" s="21"/>
      <c r="X30" s="21"/>
      <c r="Y30" s="21"/>
      <c r="Z30" s="21"/>
    </row>
    <row r="31" ht="15.75" customHeight="1">
      <c r="A31" s="30" t="s">
        <v>39</v>
      </c>
      <c r="B31" s="31">
        <v>1981.0</v>
      </c>
      <c r="C31" s="34">
        <v>1985.0</v>
      </c>
      <c r="D31" s="33">
        <v>8.6097452</v>
      </c>
      <c r="E31" s="33">
        <v>42.9</v>
      </c>
      <c r="F31" s="33">
        <v>16.799999999999997</v>
      </c>
      <c r="G31" s="35">
        <v>134.3143310546875</v>
      </c>
      <c r="H31" s="33">
        <v>61.22512</v>
      </c>
      <c r="I31" s="33">
        <v>52.6979</v>
      </c>
      <c r="J31" s="33">
        <v>35.6</v>
      </c>
      <c r="K31" s="33">
        <v>87.8976</v>
      </c>
      <c r="L31" s="21"/>
      <c r="M31" s="21"/>
      <c r="N31" s="21"/>
      <c r="O31" s="21"/>
      <c r="P31" s="21"/>
      <c r="Q31" s="21"/>
      <c r="R31" s="21"/>
      <c r="S31" s="21"/>
      <c r="T31" s="21"/>
      <c r="U31" s="21"/>
      <c r="V31" s="21"/>
      <c r="W31" s="21"/>
      <c r="X31" s="21"/>
      <c r="Y31" s="21"/>
      <c r="Z31" s="21"/>
    </row>
    <row r="32" ht="15.75" customHeight="1">
      <c r="A32" s="30" t="s">
        <v>223</v>
      </c>
      <c r="B32" s="31">
        <v>1998.0</v>
      </c>
      <c r="C32" s="31">
        <v>1998.0</v>
      </c>
      <c r="D32" s="33">
        <v>19.3983106</v>
      </c>
      <c r="E32" s="33">
        <v>18.0</v>
      </c>
      <c r="F32" s="33" t="s">
        <v>214</v>
      </c>
      <c r="G32" s="35">
        <v>19.53125</v>
      </c>
      <c r="H32" s="33">
        <v>62.01519</v>
      </c>
      <c r="I32" s="33">
        <v>7.19216</v>
      </c>
      <c r="J32" s="33">
        <v>20.0</v>
      </c>
      <c r="K32" s="33">
        <v>11.15775</v>
      </c>
      <c r="L32" s="21"/>
      <c r="M32" s="21"/>
      <c r="N32" s="21"/>
      <c r="O32" s="21"/>
      <c r="P32" s="21"/>
      <c r="Q32" s="21"/>
      <c r="R32" s="21"/>
      <c r="S32" s="21"/>
      <c r="T32" s="21"/>
      <c r="U32" s="21"/>
      <c r="V32" s="21"/>
      <c r="W32" s="21"/>
      <c r="X32" s="21"/>
      <c r="Y32" s="21"/>
      <c r="Z32" s="21"/>
    </row>
    <row r="33" ht="15.75" customHeight="1">
      <c r="A33" s="30" t="s">
        <v>42</v>
      </c>
      <c r="B33" s="31">
        <v>1982.0</v>
      </c>
      <c r="C33" s="31">
        <v>1982.0</v>
      </c>
      <c r="D33" s="33">
        <v>46.9595342</v>
      </c>
      <c r="E33" s="33">
        <v>5.0</v>
      </c>
      <c r="F33" s="33">
        <v>5.0</v>
      </c>
      <c r="G33" s="35">
        <v>16.496206283569336</v>
      </c>
      <c r="H33" s="33">
        <v>21.06028</v>
      </c>
      <c r="I33" s="33">
        <v>7.7377199999999995</v>
      </c>
      <c r="J33" s="33">
        <v>4.1</v>
      </c>
      <c r="K33" s="33">
        <v>16.570429999999998</v>
      </c>
      <c r="L33" s="21"/>
      <c r="M33" s="21"/>
      <c r="N33" s="21"/>
      <c r="O33" s="21"/>
      <c r="P33" s="21"/>
      <c r="Q33" s="21"/>
      <c r="R33" s="21"/>
      <c r="S33" s="21"/>
      <c r="T33" s="21"/>
      <c r="U33" s="21"/>
      <c r="V33" s="21"/>
      <c r="W33" s="21"/>
      <c r="X33" s="21"/>
      <c r="Y33" s="21"/>
      <c r="Z33" s="21"/>
    </row>
    <row r="34" ht="15.75" customHeight="1">
      <c r="A34" s="30" t="s">
        <v>42</v>
      </c>
      <c r="B34" s="31">
        <v>1998.0</v>
      </c>
      <c r="C34" s="31">
        <v>2000.0</v>
      </c>
      <c r="D34" s="33">
        <v>43.3981607</v>
      </c>
      <c r="E34" s="33">
        <v>6.3</v>
      </c>
      <c r="F34" s="33">
        <v>2.539999999999999</v>
      </c>
      <c r="G34" s="35">
        <v>15.89704704284668</v>
      </c>
      <c r="H34" s="33">
        <v>5.073536</v>
      </c>
      <c r="I34" s="33">
        <v>4.2910900000000005</v>
      </c>
      <c r="J34" s="33">
        <v>14.000000000000002</v>
      </c>
      <c r="K34" s="33">
        <v>15.40799</v>
      </c>
      <c r="L34" s="21"/>
      <c r="M34" s="21"/>
      <c r="N34" s="21"/>
      <c r="O34" s="21"/>
      <c r="P34" s="21"/>
      <c r="Q34" s="21"/>
      <c r="R34" s="21"/>
      <c r="S34" s="21"/>
      <c r="T34" s="21"/>
      <c r="U34" s="21"/>
      <c r="V34" s="21"/>
      <c r="W34" s="21"/>
      <c r="X34" s="21"/>
      <c r="Y34" s="21"/>
      <c r="Z34" s="21"/>
    </row>
    <row r="35" ht="15.75" customHeight="1">
      <c r="A35" s="30" t="s">
        <v>224</v>
      </c>
      <c r="B35" s="31">
        <v>1983.0</v>
      </c>
      <c r="C35" s="31">
        <v>1983.0</v>
      </c>
      <c r="D35" s="33">
        <v>1.3754204</v>
      </c>
      <c r="E35" s="33" t="s">
        <v>214</v>
      </c>
      <c r="F35" s="33" t="s">
        <v>214</v>
      </c>
      <c r="G35" s="33" t="s">
        <v>214</v>
      </c>
      <c r="H35" s="33">
        <v>19.95647</v>
      </c>
      <c r="I35" s="33">
        <v>18.918129999999998</v>
      </c>
      <c r="J35" s="33" t="s">
        <v>214</v>
      </c>
      <c r="K35" s="33">
        <v>39.45382</v>
      </c>
      <c r="L35" s="21"/>
      <c r="M35" s="21"/>
      <c r="N35" s="21"/>
      <c r="O35" s="21"/>
      <c r="P35" s="21"/>
      <c r="Q35" s="21"/>
      <c r="R35" s="21"/>
      <c r="S35" s="21"/>
      <c r="T35" s="21"/>
      <c r="U35" s="21"/>
      <c r="V35" s="21"/>
      <c r="W35" s="21"/>
      <c r="X35" s="21"/>
      <c r="Y35" s="21"/>
      <c r="Z35" s="21"/>
    </row>
    <row r="36" ht="15.75" customHeight="1">
      <c r="A36" s="30" t="s">
        <v>224</v>
      </c>
      <c r="B36" s="31">
        <v>1991.0</v>
      </c>
      <c r="C36" s="34">
        <v>1994.0</v>
      </c>
      <c r="D36" s="33">
        <v>129.54675220000001</v>
      </c>
      <c r="E36" s="33" t="s">
        <v>214</v>
      </c>
      <c r="F36" s="33" t="s">
        <v>214</v>
      </c>
      <c r="G36" s="33" t="s">
        <v>214</v>
      </c>
      <c r="H36" s="33">
        <v>44.69853</v>
      </c>
      <c r="I36" s="33">
        <v>30.17046</v>
      </c>
      <c r="J36" s="33" t="s">
        <v>214</v>
      </c>
      <c r="K36" s="33">
        <v>42.1884</v>
      </c>
      <c r="L36" s="21"/>
      <c r="M36" s="21"/>
      <c r="N36" s="21"/>
      <c r="O36" s="21"/>
      <c r="P36" s="21"/>
      <c r="Q36" s="21"/>
      <c r="R36" s="21"/>
      <c r="S36" s="21"/>
      <c r="T36" s="21"/>
      <c r="U36" s="21"/>
      <c r="V36" s="21"/>
      <c r="W36" s="21"/>
      <c r="X36" s="21"/>
      <c r="Y36" s="21"/>
      <c r="Z36" s="21"/>
    </row>
    <row r="37" ht="15.75" customHeight="1">
      <c r="A37" s="30" t="s">
        <v>224</v>
      </c>
      <c r="B37" s="31">
        <v>1994.0</v>
      </c>
      <c r="C37" s="34">
        <v>1998.0</v>
      </c>
      <c r="D37" s="33">
        <v>78.9919386</v>
      </c>
      <c r="E37" s="33" t="s">
        <v>214</v>
      </c>
      <c r="F37" s="33" t="s">
        <v>214</v>
      </c>
      <c r="G37" s="33" t="s">
        <v>214</v>
      </c>
      <c r="H37" s="33">
        <v>77.25292</v>
      </c>
      <c r="I37" s="33">
        <v>77.11886</v>
      </c>
      <c r="J37" s="33">
        <v>75.0</v>
      </c>
      <c r="K37" s="33">
        <v>39.25775</v>
      </c>
      <c r="L37" s="21"/>
      <c r="M37" s="21"/>
      <c r="N37" s="21"/>
      <c r="O37" s="21"/>
      <c r="P37" s="21"/>
      <c r="Q37" s="21"/>
      <c r="R37" s="21"/>
      <c r="S37" s="21"/>
      <c r="T37" s="21"/>
      <c r="U37" s="21"/>
      <c r="V37" s="21"/>
      <c r="W37" s="21"/>
      <c r="X37" s="21"/>
      <c r="Y37" s="21"/>
      <c r="Z37" s="21"/>
    </row>
    <row r="38" ht="15.75" customHeight="1">
      <c r="A38" s="30" t="s">
        <v>225</v>
      </c>
      <c r="B38" s="31">
        <v>1992.0</v>
      </c>
      <c r="C38" s="31">
        <v>1994.0</v>
      </c>
      <c r="D38" s="33">
        <v>47.3598384</v>
      </c>
      <c r="E38" s="33" t="s">
        <v>214</v>
      </c>
      <c r="F38" s="33" t="s">
        <v>214</v>
      </c>
      <c r="G38" s="33" t="s">
        <v>214</v>
      </c>
      <c r="H38" s="33">
        <v>30.73201</v>
      </c>
      <c r="I38" s="33">
        <v>16.58411</v>
      </c>
      <c r="J38" s="33" t="s">
        <v>214</v>
      </c>
      <c r="K38" s="33">
        <v>103.46310000000001</v>
      </c>
      <c r="L38" s="21"/>
      <c r="M38" s="21"/>
      <c r="N38" s="21"/>
      <c r="O38" s="21"/>
      <c r="P38" s="21"/>
      <c r="Q38" s="21"/>
      <c r="R38" s="21"/>
      <c r="S38" s="21"/>
      <c r="T38" s="21"/>
      <c r="U38" s="21"/>
      <c r="V38" s="21"/>
      <c r="W38" s="21"/>
      <c r="X38" s="21"/>
      <c r="Y38" s="21"/>
      <c r="Z38" s="21"/>
    </row>
    <row r="39" ht="15.75" customHeight="1">
      <c r="A39" s="30" t="s">
        <v>48</v>
      </c>
      <c r="B39" s="31">
        <v>1987.0</v>
      </c>
      <c r="C39" s="31">
        <v>1991.0</v>
      </c>
      <c r="D39" s="33">
        <v>0.0</v>
      </c>
      <c r="E39" s="33" t="s">
        <v>214</v>
      </c>
      <c r="F39" s="33" t="s">
        <v>214</v>
      </c>
      <c r="G39" s="33" t="s">
        <v>214</v>
      </c>
      <c r="H39" s="33">
        <v>20.17417</v>
      </c>
      <c r="I39" s="33">
        <v>6.09581</v>
      </c>
      <c r="J39" s="33" t="s">
        <v>214</v>
      </c>
      <c r="K39" s="33">
        <v>-27.54878</v>
      </c>
      <c r="L39" s="21"/>
      <c r="M39" s="21"/>
      <c r="N39" s="21"/>
      <c r="O39" s="21"/>
      <c r="P39" s="21"/>
      <c r="Q39" s="21"/>
      <c r="R39" s="21"/>
      <c r="S39" s="21"/>
      <c r="T39" s="21"/>
      <c r="U39" s="21"/>
      <c r="V39" s="21"/>
      <c r="W39" s="21"/>
      <c r="X39" s="21"/>
      <c r="Y39" s="21"/>
      <c r="Z39" s="21"/>
    </row>
    <row r="40" ht="15.75" customHeight="1">
      <c r="A40" s="30" t="s">
        <v>48</v>
      </c>
      <c r="B40" s="31">
        <v>1994.0</v>
      </c>
      <c r="C40" s="31">
        <v>1995.0</v>
      </c>
      <c r="D40" s="33">
        <v>0.0</v>
      </c>
      <c r="E40" s="33" t="s">
        <v>214</v>
      </c>
      <c r="F40" s="33" t="s">
        <v>214</v>
      </c>
      <c r="G40" s="33" t="s">
        <v>214</v>
      </c>
      <c r="H40" s="33">
        <v>15.1952</v>
      </c>
      <c r="I40" s="33">
        <v>6.34947</v>
      </c>
      <c r="J40" s="33">
        <v>32.0</v>
      </c>
      <c r="K40" s="33">
        <v>4.75884</v>
      </c>
      <c r="L40" s="21"/>
      <c r="M40" s="21"/>
      <c r="N40" s="21"/>
      <c r="O40" s="21"/>
      <c r="P40" s="21"/>
      <c r="Q40" s="21"/>
      <c r="R40" s="21"/>
      <c r="S40" s="21"/>
      <c r="T40" s="21"/>
      <c r="U40" s="21"/>
      <c r="V40" s="21"/>
      <c r="W40" s="21"/>
      <c r="X40" s="21"/>
      <c r="Y40" s="21"/>
      <c r="Z40" s="21"/>
    </row>
    <row r="41" ht="15.75" customHeight="1">
      <c r="A41" s="30" t="s">
        <v>226</v>
      </c>
      <c r="B41" s="31">
        <v>1988.0</v>
      </c>
      <c r="C41" s="34">
        <v>1992.0</v>
      </c>
      <c r="D41" s="33">
        <v>45.0</v>
      </c>
      <c r="E41" s="33">
        <v>25.0</v>
      </c>
      <c r="F41" s="33">
        <v>25.0</v>
      </c>
      <c r="G41" s="35">
        <v>63.5970458984375</v>
      </c>
      <c r="H41" s="33">
        <v>76.85339</v>
      </c>
      <c r="I41" s="33">
        <v>22.53789</v>
      </c>
      <c r="J41" s="33">
        <v>50.0</v>
      </c>
      <c r="K41" s="33">
        <v>13.61769</v>
      </c>
      <c r="L41" s="21"/>
      <c r="M41" s="21"/>
      <c r="N41" s="21"/>
      <c r="O41" s="21"/>
      <c r="P41" s="21"/>
      <c r="Q41" s="21"/>
      <c r="R41" s="21"/>
      <c r="S41" s="21"/>
      <c r="T41" s="21"/>
      <c r="U41" s="21"/>
      <c r="V41" s="21"/>
      <c r="W41" s="21"/>
      <c r="X41" s="21"/>
      <c r="Y41" s="21"/>
      <c r="Z41" s="21"/>
    </row>
    <row r="42" ht="15.75" customHeight="1">
      <c r="A42" s="30" t="s">
        <v>227</v>
      </c>
      <c r="B42" s="31">
        <v>1998.0</v>
      </c>
      <c r="C42" s="31">
        <v>1999.0</v>
      </c>
      <c r="D42" s="33" t="s">
        <v>214</v>
      </c>
      <c r="E42" s="33">
        <v>6.9</v>
      </c>
      <c r="F42" s="33">
        <v>6.9</v>
      </c>
      <c r="G42" s="35">
        <v>14.951245307922363</v>
      </c>
      <c r="H42" s="33">
        <v>3.249792</v>
      </c>
      <c r="I42" s="33">
        <v>3.1253499999999996</v>
      </c>
      <c r="J42" s="33">
        <v>10.5</v>
      </c>
      <c r="K42" s="33">
        <v>14.089199999999998</v>
      </c>
      <c r="L42" s="21"/>
      <c r="M42" s="21"/>
      <c r="N42" s="21"/>
      <c r="O42" s="21"/>
      <c r="P42" s="21"/>
      <c r="Q42" s="21"/>
      <c r="R42" s="21"/>
      <c r="S42" s="21"/>
      <c r="T42" s="21"/>
      <c r="U42" s="21"/>
      <c r="V42" s="21"/>
      <c r="W42" s="21"/>
      <c r="X42" s="21"/>
      <c r="Y42" s="21"/>
      <c r="Z42" s="21"/>
    </row>
    <row r="43" ht="15.75" customHeight="1">
      <c r="A43" s="36" t="s">
        <v>228</v>
      </c>
      <c r="B43" s="31">
        <v>1996.0</v>
      </c>
      <c r="C43" s="34">
        <v>2000.0</v>
      </c>
      <c r="D43" s="33" t="s">
        <v>214</v>
      </c>
      <c r="E43" s="33">
        <v>6.800000000000001</v>
      </c>
      <c r="F43" s="33">
        <v>5.800000000000001</v>
      </c>
      <c r="G43" s="35">
        <v>9.577465057373047</v>
      </c>
      <c r="H43" s="33">
        <v>12.656520000000002</v>
      </c>
      <c r="I43" s="33">
        <v>4.15161</v>
      </c>
      <c r="J43" s="33">
        <v>18.0</v>
      </c>
      <c r="K43" s="33">
        <v>1.7746499999999998</v>
      </c>
      <c r="L43" s="21"/>
      <c r="M43" s="21"/>
      <c r="N43" s="21"/>
      <c r="O43" s="21"/>
      <c r="P43" s="21"/>
      <c r="Q43" s="21"/>
      <c r="R43" s="21"/>
      <c r="S43" s="21"/>
      <c r="T43" s="21"/>
      <c r="U43" s="21"/>
      <c r="V43" s="21"/>
      <c r="W43" s="21"/>
      <c r="X43" s="21"/>
      <c r="Y43" s="21"/>
      <c r="Z43" s="21"/>
    </row>
    <row r="44" ht="15.75" customHeight="1">
      <c r="A44" s="30" t="s">
        <v>53</v>
      </c>
      <c r="B44" s="31">
        <v>2011.0</v>
      </c>
      <c r="C44" s="34">
        <v>2015.0</v>
      </c>
      <c r="D44" s="33">
        <v>76.495338</v>
      </c>
      <c r="E44" s="33">
        <f>+'Additional Details'!R46*100</f>
        <v>17.99</v>
      </c>
      <c r="F44" s="33">
        <v>17.99</v>
      </c>
      <c r="G44" s="35">
        <v>2.5725228786468506</v>
      </c>
      <c r="H44" s="33">
        <v>20.29</v>
      </c>
      <c r="I44" s="33">
        <v>14.065590069231124</v>
      </c>
      <c r="J44" s="33">
        <f>+'Additional Details'!R45*100</f>
        <v>47.75</v>
      </c>
      <c r="K44" s="33">
        <v>21.256669429808635</v>
      </c>
      <c r="L44" s="21"/>
      <c r="M44" s="21"/>
      <c r="N44" s="21"/>
      <c r="O44" s="21"/>
      <c r="P44" s="21"/>
      <c r="Q44" s="21"/>
      <c r="R44" s="21"/>
      <c r="S44" s="21"/>
      <c r="T44" s="21"/>
      <c r="U44" s="21"/>
      <c r="V44" s="21"/>
      <c r="W44" s="21"/>
      <c r="X44" s="21"/>
      <c r="Y44" s="21"/>
      <c r="Z44" s="21"/>
    </row>
    <row r="45" ht="15.75" customHeight="1">
      <c r="A45" s="30" t="s">
        <v>54</v>
      </c>
      <c r="B45" s="31">
        <v>2008.0</v>
      </c>
      <c r="C45" s="31">
        <v>2009.0</v>
      </c>
      <c r="D45" s="33">
        <v>35.016396</v>
      </c>
      <c r="E45" s="33">
        <f>+'Additional Details'!S47*100</f>
        <v>5.94</v>
      </c>
      <c r="F45" s="33">
        <v>2.44</v>
      </c>
      <c r="G45" s="35">
        <v>3.0609090328216553</v>
      </c>
      <c r="H45" s="33">
        <v>17.7</v>
      </c>
      <c r="I45" s="33">
        <v>9.7</v>
      </c>
      <c r="J45" s="38">
        <f>+'Additional Details'!S45*100</f>
        <v>5.95</v>
      </c>
      <c r="K45" s="33">
        <v>32.76446378492348</v>
      </c>
      <c r="L45" s="21"/>
      <c r="M45" s="21"/>
      <c r="N45" s="21"/>
      <c r="O45" s="21"/>
      <c r="P45" s="21"/>
      <c r="Q45" s="21"/>
      <c r="R45" s="21"/>
      <c r="S45" s="21"/>
      <c r="T45" s="21"/>
      <c r="U45" s="21"/>
      <c r="V45" s="21"/>
      <c r="W45" s="21"/>
      <c r="X45" s="21"/>
      <c r="Y45" s="21"/>
      <c r="Z45" s="21"/>
    </row>
    <row r="46" ht="15.75" customHeight="1">
      <c r="A46" s="30" t="s">
        <v>55</v>
      </c>
      <c r="B46" s="31">
        <v>1991.0</v>
      </c>
      <c r="C46" s="34">
        <v>1995.0</v>
      </c>
      <c r="D46" s="33">
        <v>42.6452632</v>
      </c>
      <c r="E46" s="33" t="s">
        <v>214</v>
      </c>
      <c r="F46" s="33" t="s">
        <v>214</v>
      </c>
      <c r="G46" s="33" t="s">
        <v>214</v>
      </c>
      <c r="H46" s="33">
        <v>5.228449</v>
      </c>
      <c r="I46" s="33">
        <v>3.15111</v>
      </c>
      <c r="J46" s="33" t="s">
        <v>214</v>
      </c>
      <c r="K46" s="33" t="s">
        <v>214</v>
      </c>
      <c r="L46" s="21"/>
      <c r="M46" s="21"/>
      <c r="N46" s="21"/>
      <c r="O46" s="21"/>
      <c r="P46" s="21"/>
      <c r="Q46" s="21"/>
      <c r="R46" s="21"/>
      <c r="S46" s="21"/>
      <c r="T46" s="21"/>
      <c r="U46" s="21"/>
      <c r="V46" s="21"/>
      <c r="W46" s="21"/>
      <c r="X46" s="21"/>
      <c r="Y46" s="21"/>
      <c r="Z46" s="21"/>
    </row>
    <row r="47" ht="15.75" customHeight="1">
      <c r="A47" s="30" t="s">
        <v>229</v>
      </c>
      <c r="B47" s="31">
        <v>2003.0</v>
      </c>
      <c r="C47" s="31">
        <v>2004.0</v>
      </c>
      <c r="D47" s="33">
        <v>12.493992</v>
      </c>
      <c r="E47" s="33">
        <v>22.0</v>
      </c>
      <c r="F47" s="33">
        <v>20.8</v>
      </c>
      <c r="G47" s="35">
        <v>63.71271514892578</v>
      </c>
      <c r="H47" s="33">
        <v>43.37155</v>
      </c>
      <c r="I47" s="33">
        <v>38.11788</v>
      </c>
      <c r="J47" s="33">
        <v>9.0</v>
      </c>
      <c r="K47" s="33">
        <v>16.51355</v>
      </c>
      <c r="L47" s="21"/>
      <c r="M47" s="21"/>
      <c r="N47" s="21"/>
      <c r="O47" s="21"/>
      <c r="P47" s="21"/>
      <c r="Q47" s="21"/>
      <c r="R47" s="21"/>
      <c r="S47" s="21"/>
      <c r="T47" s="21"/>
      <c r="U47" s="21"/>
      <c r="V47" s="21"/>
      <c r="W47" s="21"/>
      <c r="X47" s="21"/>
      <c r="Y47" s="21"/>
      <c r="Z47" s="21"/>
    </row>
    <row r="48" ht="15.75" customHeight="1">
      <c r="A48" s="30" t="s">
        <v>58</v>
      </c>
      <c r="B48" s="31">
        <v>1982.0</v>
      </c>
      <c r="C48" s="34">
        <v>1986.0</v>
      </c>
      <c r="D48" s="33">
        <v>98.1906225</v>
      </c>
      <c r="E48" s="33" t="s">
        <v>214</v>
      </c>
      <c r="F48" s="33" t="s">
        <v>214</v>
      </c>
      <c r="G48" s="35" t="s">
        <v>214</v>
      </c>
      <c r="H48" s="33">
        <v>146.7178</v>
      </c>
      <c r="I48" s="33">
        <v>100.01100000000001</v>
      </c>
      <c r="J48" s="33" t="s">
        <v>214</v>
      </c>
      <c r="K48" s="33">
        <v>24.401909999999997</v>
      </c>
      <c r="L48" s="21"/>
      <c r="M48" s="21"/>
      <c r="N48" s="21"/>
      <c r="O48" s="21"/>
      <c r="P48" s="21"/>
      <c r="Q48" s="21"/>
      <c r="R48" s="21"/>
      <c r="S48" s="21"/>
      <c r="T48" s="21"/>
      <c r="U48" s="21"/>
      <c r="V48" s="21"/>
      <c r="W48" s="21"/>
      <c r="X48" s="21"/>
      <c r="Y48" s="21"/>
      <c r="Z48" s="21"/>
    </row>
    <row r="49" ht="15.75" customHeight="1">
      <c r="A49" s="30" t="s">
        <v>58</v>
      </c>
      <c r="B49" s="31">
        <v>1998.0</v>
      </c>
      <c r="C49" s="31">
        <v>2002.0</v>
      </c>
      <c r="D49" s="33">
        <v>25.3533299</v>
      </c>
      <c r="E49" s="33">
        <v>21.7</v>
      </c>
      <c r="F49" s="33">
        <v>16.259999999999998</v>
      </c>
      <c r="G49" s="35">
        <v>76.84136199951172</v>
      </c>
      <c r="H49" s="33">
        <v>26.0049</v>
      </c>
      <c r="I49" s="33">
        <v>22.54439</v>
      </c>
      <c r="J49" s="33">
        <v>40.0</v>
      </c>
      <c r="K49" s="33">
        <v>9.0542</v>
      </c>
      <c r="L49" s="21"/>
      <c r="M49" s="21"/>
      <c r="N49" s="21"/>
      <c r="O49" s="21"/>
      <c r="P49" s="21"/>
      <c r="Q49" s="21"/>
      <c r="R49" s="21"/>
      <c r="S49" s="21"/>
      <c r="T49" s="21"/>
      <c r="U49" s="21"/>
      <c r="V49" s="21"/>
      <c r="W49" s="21"/>
      <c r="X49" s="21"/>
      <c r="Y49" s="21"/>
      <c r="Z49" s="21"/>
    </row>
    <row r="50" ht="15.75" customHeight="1">
      <c r="A50" s="30" t="s">
        <v>59</v>
      </c>
      <c r="B50" s="31">
        <v>1980.0</v>
      </c>
      <c r="C50" s="31">
        <v>1980.0</v>
      </c>
      <c r="D50" s="33">
        <v>0.8829518</v>
      </c>
      <c r="E50" s="33" t="s">
        <v>214</v>
      </c>
      <c r="F50" s="33" t="s">
        <v>214</v>
      </c>
      <c r="G50" s="33" t="s">
        <v>214</v>
      </c>
      <c r="H50" s="33">
        <v>66.65489</v>
      </c>
      <c r="I50" s="33">
        <v>22.733819999999998</v>
      </c>
      <c r="J50" s="33" t="s">
        <v>214</v>
      </c>
      <c r="K50" s="33">
        <v>-4.22944</v>
      </c>
      <c r="L50" s="21"/>
      <c r="M50" s="21"/>
      <c r="N50" s="21"/>
      <c r="O50" s="21"/>
      <c r="P50" s="21"/>
      <c r="Q50" s="21"/>
      <c r="R50" s="21"/>
      <c r="S50" s="21"/>
      <c r="T50" s="21"/>
      <c r="U50" s="21"/>
      <c r="V50" s="21"/>
      <c r="W50" s="21"/>
      <c r="X50" s="21"/>
      <c r="Y50" s="21"/>
      <c r="Z50" s="21"/>
    </row>
    <row r="51" ht="15.75" customHeight="1">
      <c r="A51" s="30" t="s">
        <v>60</v>
      </c>
      <c r="B51" s="31">
        <v>1989.0</v>
      </c>
      <c r="C51" s="31">
        <v>1990.0</v>
      </c>
      <c r="D51" s="33">
        <v>0.0</v>
      </c>
      <c r="E51" s="33" t="s">
        <v>214</v>
      </c>
      <c r="F51" s="33" t="s">
        <v>214</v>
      </c>
      <c r="G51" s="33" t="s">
        <v>214</v>
      </c>
      <c r="H51" s="33">
        <v>51.63841</v>
      </c>
      <c r="I51" s="33">
        <v>11.46209</v>
      </c>
      <c r="J51" s="33">
        <v>37.0</v>
      </c>
      <c r="K51" s="33">
        <v>-29.55433</v>
      </c>
      <c r="L51" s="21"/>
      <c r="M51" s="21"/>
      <c r="N51" s="21"/>
      <c r="O51" s="21"/>
      <c r="P51" s="21"/>
      <c r="Q51" s="21"/>
      <c r="R51" s="21"/>
      <c r="S51" s="21"/>
      <c r="T51" s="21"/>
      <c r="U51" s="21"/>
      <c r="V51" s="21"/>
      <c r="W51" s="21"/>
      <c r="X51" s="21"/>
      <c r="Y51" s="21"/>
      <c r="Z51" s="21"/>
    </row>
    <row r="52" ht="15.75" customHeight="1">
      <c r="A52" s="30" t="s">
        <v>61</v>
      </c>
      <c r="B52" s="31">
        <v>1983.0</v>
      </c>
      <c r="C52" s="34">
        <v>1983.0</v>
      </c>
      <c r="D52" s="33">
        <v>0.0</v>
      </c>
      <c r="E52" s="33" t="s">
        <v>214</v>
      </c>
      <c r="F52" s="33" t="s">
        <v>214</v>
      </c>
      <c r="G52" s="33" t="s">
        <v>214</v>
      </c>
      <c r="H52" s="33">
        <v>75.79138</v>
      </c>
      <c r="I52" s="33" t="s">
        <v>214</v>
      </c>
      <c r="J52" s="33" t="s">
        <v>214</v>
      </c>
      <c r="K52" s="33" t="s">
        <v>214</v>
      </c>
      <c r="L52" s="21"/>
      <c r="M52" s="21"/>
      <c r="N52" s="21"/>
      <c r="O52" s="21"/>
      <c r="P52" s="21"/>
      <c r="Q52" s="21"/>
      <c r="R52" s="21"/>
      <c r="S52" s="21"/>
      <c r="T52" s="21"/>
      <c r="U52" s="21"/>
      <c r="V52" s="21"/>
      <c r="W52" s="21"/>
      <c r="X52" s="21"/>
      <c r="Y52" s="21"/>
      <c r="Z52" s="21"/>
    </row>
    <row r="53" ht="15.75" customHeight="1">
      <c r="A53" s="30" t="s">
        <v>62</v>
      </c>
      <c r="B53" s="31">
        <v>1993.0</v>
      </c>
      <c r="C53" s="34">
        <v>1993.0</v>
      </c>
      <c r="D53" s="33" t="s">
        <v>214</v>
      </c>
      <c r="E53" s="33" t="s">
        <v>214</v>
      </c>
      <c r="F53" s="33" t="s">
        <v>214</v>
      </c>
      <c r="G53" s="33" t="s">
        <v>214</v>
      </c>
      <c r="H53" s="33" t="s">
        <v>214</v>
      </c>
      <c r="I53" s="33" t="s">
        <v>214</v>
      </c>
      <c r="J53" s="33" t="s">
        <v>214</v>
      </c>
      <c r="K53" s="33" t="s">
        <v>214</v>
      </c>
      <c r="L53" s="21"/>
      <c r="M53" s="21"/>
      <c r="N53" s="21"/>
      <c r="O53" s="21"/>
      <c r="P53" s="21"/>
      <c r="Q53" s="21"/>
      <c r="R53" s="21"/>
      <c r="S53" s="21"/>
      <c r="T53" s="21"/>
      <c r="U53" s="21"/>
      <c r="V53" s="21"/>
      <c r="W53" s="21"/>
      <c r="X53" s="21"/>
      <c r="Y53" s="21"/>
      <c r="Z53" s="21"/>
    </row>
    <row r="54" ht="15.75" customHeight="1">
      <c r="A54" s="30" t="s">
        <v>230</v>
      </c>
      <c r="B54" s="31">
        <v>1992.0</v>
      </c>
      <c r="C54" s="31">
        <v>1994.0</v>
      </c>
      <c r="D54" s="33" t="s">
        <v>214</v>
      </c>
      <c r="E54" s="33">
        <v>1.9</v>
      </c>
      <c r="F54" s="33">
        <v>1.63</v>
      </c>
      <c r="G54" s="33" t="s">
        <v>214</v>
      </c>
      <c r="H54" s="33">
        <v>30.92378</v>
      </c>
      <c r="I54" s="33" t="s">
        <v>214</v>
      </c>
      <c r="J54" s="33">
        <v>7.000000000000001</v>
      </c>
      <c r="K54" s="33" t="s">
        <v>214</v>
      </c>
      <c r="L54" s="21"/>
      <c r="M54" s="21"/>
      <c r="N54" s="21"/>
      <c r="O54" s="21"/>
      <c r="P54" s="21"/>
      <c r="Q54" s="21"/>
      <c r="R54" s="21"/>
      <c r="S54" s="21"/>
      <c r="T54" s="21"/>
      <c r="U54" s="21"/>
      <c r="V54" s="21"/>
      <c r="W54" s="21"/>
      <c r="X54" s="21"/>
      <c r="Y54" s="21"/>
      <c r="Z54" s="21"/>
    </row>
    <row r="55" ht="15.75" customHeight="1">
      <c r="A55" s="30" t="s">
        <v>66</v>
      </c>
      <c r="B55" s="31">
        <v>1991.0</v>
      </c>
      <c r="C55" s="31">
        <v>1995.0</v>
      </c>
      <c r="D55" s="33">
        <v>69.5903144</v>
      </c>
      <c r="E55" s="33">
        <v>12.8</v>
      </c>
      <c r="F55" s="33">
        <v>11.080000000000002</v>
      </c>
      <c r="G55" s="35">
        <v>15.492616653442383</v>
      </c>
      <c r="H55" s="33">
        <v>11.99135</v>
      </c>
      <c r="I55" s="33">
        <v>5.50326</v>
      </c>
      <c r="J55" s="33">
        <v>13.0</v>
      </c>
      <c r="K55" s="33">
        <v>43.55003</v>
      </c>
      <c r="L55" s="21"/>
      <c r="M55" s="21"/>
      <c r="N55" s="21"/>
      <c r="O55" s="21"/>
      <c r="P55" s="21"/>
      <c r="Q55" s="21"/>
      <c r="R55" s="21"/>
      <c r="S55" s="21"/>
      <c r="T55" s="21"/>
      <c r="U55" s="21"/>
      <c r="V55" s="21"/>
      <c r="W55" s="21"/>
      <c r="X55" s="21"/>
      <c r="Y55" s="21"/>
      <c r="Z55" s="21"/>
    </row>
    <row r="56" ht="15.75" customHeight="1">
      <c r="A56" s="36" t="s">
        <v>231</v>
      </c>
      <c r="B56" s="31">
        <v>2008.0</v>
      </c>
      <c r="C56" s="31">
        <v>2009.0</v>
      </c>
      <c r="D56" s="33">
        <v>23.349285</v>
      </c>
      <c r="E56" s="33">
        <f>+'Additional Details'!X47*100</f>
        <v>1.26</v>
      </c>
      <c r="F56" s="33">
        <v>1.06</v>
      </c>
      <c r="G56" s="35">
        <v>0.34429803490638733</v>
      </c>
      <c r="H56" s="33">
        <v>9.59</v>
      </c>
      <c r="I56" s="33">
        <v>8.18</v>
      </c>
      <c r="J56" s="33">
        <f>100*'Additional Details'!X45</f>
        <v>4.5</v>
      </c>
      <c r="K56" s="33">
        <v>15.875669622044274</v>
      </c>
      <c r="L56" s="21"/>
      <c r="M56" s="21"/>
      <c r="N56" s="21"/>
      <c r="O56" s="21"/>
      <c r="P56" s="21"/>
      <c r="Q56" s="21"/>
      <c r="R56" s="21"/>
      <c r="S56" s="21"/>
      <c r="T56" s="21"/>
      <c r="U56" s="21"/>
      <c r="V56" s="21"/>
      <c r="W56" s="21"/>
      <c r="X56" s="21"/>
      <c r="Y56" s="21"/>
      <c r="Z56" s="21"/>
    </row>
    <row r="57" ht="15.75" customHeight="1">
      <c r="A57" s="30" t="s">
        <v>232</v>
      </c>
      <c r="B57" s="31">
        <v>1991.0</v>
      </c>
      <c r="C57" s="34">
        <v>1995.0</v>
      </c>
      <c r="D57" s="33" t="s">
        <v>214</v>
      </c>
      <c r="E57" s="33" t="s">
        <v>214</v>
      </c>
      <c r="F57" s="33" t="s">
        <v>214</v>
      </c>
      <c r="G57" s="35" t="s">
        <v>214</v>
      </c>
      <c r="H57" s="33" t="s">
        <v>214</v>
      </c>
      <c r="I57" s="33" t="s">
        <v>214</v>
      </c>
      <c r="J57" s="33">
        <v>33.0</v>
      </c>
      <c r="K57" s="33" t="s">
        <v>214</v>
      </c>
      <c r="L57" s="21"/>
      <c r="M57" s="21"/>
      <c r="N57" s="21"/>
      <c r="O57" s="21"/>
      <c r="P57" s="21"/>
      <c r="Q57" s="21"/>
      <c r="R57" s="21"/>
      <c r="S57" s="21"/>
      <c r="T57" s="21"/>
      <c r="U57" s="21"/>
      <c r="V57" s="21"/>
      <c r="W57" s="21"/>
      <c r="X57" s="21"/>
      <c r="Y57" s="21"/>
      <c r="Z57" s="21"/>
    </row>
    <row r="58" ht="15.75" customHeight="1">
      <c r="A58" s="30" t="s">
        <v>71</v>
      </c>
      <c r="B58" s="31">
        <v>2008.0</v>
      </c>
      <c r="C58" s="31">
        <v>2009.0</v>
      </c>
      <c r="D58" s="33">
        <v>12.257433</v>
      </c>
      <c r="E58" s="33">
        <f>+'Additional Details'!Y47*100</f>
        <v>2.73</v>
      </c>
      <c r="F58" s="33">
        <v>0.69</v>
      </c>
      <c r="G58" s="35">
        <v>0.903683602809906</v>
      </c>
      <c r="H58" s="33">
        <v>12.94</v>
      </c>
      <c r="I58" s="33">
        <v>4.0</v>
      </c>
      <c r="J58" s="33">
        <f>100*'Additional Details'!Y45</f>
        <v>3.7</v>
      </c>
      <c r="K58" s="33">
        <v>16.22823447199376</v>
      </c>
      <c r="L58" s="21"/>
      <c r="M58" s="21"/>
      <c r="N58" s="21"/>
      <c r="O58" s="21"/>
      <c r="P58" s="21"/>
      <c r="Q58" s="21"/>
      <c r="R58" s="21"/>
      <c r="S58" s="21"/>
      <c r="T58" s="21"/>
      <c r="U58" s="21"/>
      <c r="V58" s="21"/>
      <c r="W58" s="21"/>
      <c r="X58" s="21"/>
      <c r="Y58" s="21"/>
      <c r="Z58" s="21"/>
    </row>
    <row r="59" ht="15.75" customHeight="1">
      <c r="A59" s="30" t="s">
        <v>72</v>
      </c>
      <c r="B59" s="31">
        <v>1982.0</v>
      </c>
      <c r="C59" s="31">
        <v>1983.0</v>
      </c>
      <c r="D59" s="33">
        <v>45.3091339</v>
      </c>
      <c r="E59" s="33">
        <v>6.0</v>
      </c>
      <c r="F59" s="33">
        <v>6.0</v>
      </c>
      <c r="G59" s="35">
        <v>105.82010650634766</v>
      </c>
      <c r="H59" s="33">
        <v>0.1895669</v>
      </c>
      <c r="I59" s="33">
        <v>0.057280000000000005</v>
      </c>
      <c r="J59" s="33">
        <v>35.0</v>
      </c>
      <c r="K59" s="33">
        <v>15.5217</v>
      </c>
      <c r="L59" s="21"/>
      <c r="M59" s="21"/>
      <c r="N59" s="21"/>
      <c r="O59" s="21"/>
      <c r="P59" s="21"/>
      <c r="Q59" s="21"/>
      <c r="R59" s="21"/>
      <c r="S59" s="21"/>
      <c r="T59" s="21"/>
      <c r="U59" s="21"/>
      <c r="V59" s="21"/>
      <c r="W59" s="21"/>
      <c r="X59" s="21"/>
      <c r="Y59" s="21"/>
      <c r="Z59" s="21"/>
    </row>
    <row r="60" ht="15.75" customHeight="1">
      <c r="A60" s="30" t="s">
        <v>73</v>
      </c>
      <c r="B60" s="31">
        <v>2008.0</v>
      </c>
      <c r="C60" s="34">
        <v>2012.0</v>
      </c>
      <c r="D60" s="33">
        <v>64.926102</v>
      </c>
      <c r="E60" s="33">
        <f>+'Additional Details'!AA47*100</f>
        <v>28.7</v>
      </c>
      <c r="F60" s="33">
        <v>17.109999999999996</v>
      </c>
      <c r="G60" s="35">
        <v>17.058181762695312</v>
      </c>
      <c r="H60" s="33">
        <v>61.74</v>
      </c>
      <c r="I60" s="33">
        <v>59.84</v>
      </c>
      <c r="J60" s="33">
        <f>100*'Additional Details'!AA45</f>
        <v>37.1</v>
      </c>
      <c r="K60" s="33">
        <v>43.87039989046265</v>
      </c>
      <c r="L60" s="21"/>
      <c r="M60" s="21"/>
      <c r="N60" s="21"/>
      <c r="O60" s="21"/>
      <c r="P60" s="21"/>
      <c r="Q60" s="21"/>
      <c r="R60" s="21"/>
      <c r="S60" s="21"/>
      <c r="T60" s="21"/>
      <c r="U60" s="21"/>
      <c r="V60" s="21"/>
      <c r="W60" s="21"/>
      <c r="X60" s="21"/>
      <c r="Y60" s="21"/>
      <c r="Z60" s="21"/>
    </row>
    <row r="61" ht="15.75" customHeight="1">
      <c r="A61" s="30" t="s">
        <v>76</v>
      </c>
      <c r="B61" s="31">
        <v>1985.0</v>
      </c>
      <c r="C61" s="34">
        <v>1985.0</v>
      </c>
      <c r="D61" s="33">
        <v>0.0</v>
      </c>
      <c r="E61" s="33">
        <v>3.0</v>
      </c>
      <c r="F61" s="33" t="s">
        <v>214</v>
      </c>
      <c r="G61" s="33" t="s">
        <v>214</v>
      </c>
      <c r="H61" s="33" t="s">
        <v>214</v>
      </c>
      <c r="I61" s="33" t="s">
        <v>214</v>
      </c>
      <c r="J61" s="33" t="s">
        <v>214</v>
      </c>
      <c r="K61" s="33" t="s">
        <v>214</v>
      </c>
      <c r="L61" s="21"/>
      <c r="M61" s="21"/>
      <c r="N61" s="21"/>
      <c r="O61" s="21"/>
      <c r="P61" s="21"/>
      <c r="Q61" s="21"/>
      <c r="R61" s="21"/>
      <c r="S61" s="21"/>
      <c r="T61" s="21"/>
      <c r="U61" s="21"/>
      <c r="V61" s="21"/>
      <c r="W61" s="21"/>
      <c r="X61" s="21"/>
      <c r="Y61" s="21"/>
      <c r="Z61" s="21"/>
    </row>
    <row r="62" ht="15.75" customHeight="1">
      <c r="A62" s="30" t="s">
        <v>76</v>
      </c>
      <c r="B62" s="31">
        <v>1993.0</v>
      </c>
      <c r="C62" s="31">
        <v>1993.0</v>
      </c>
      <c r="D62" s="33">
        <v>0.0</v>
      </c>
      <c r="E62" s="33" t="s">
        <v>214</v>
      </c>
      <c r="F62" s="33" t="s">
        <v>214</v>
      </c>
      <c r="G62" s="33" t="s">
        <v>214</v>
      </c>
      <c r="H62" s="33">
        <v>14.56486</v>
      </c>
      <c r="I62" s="33">
        <v>3.9318899999999997</v>
      </c>
      <c r="J62" s="33">
        <v>45.0</v>
      </c>
      <c r="K62" s="33">
        <v>6.721729999999999</v>
      </c>
      <c r="L62" s="21"/>
      <c r="M62" s="21"/>
      <c r="N62" s="21"/>
      <c r="O62" s="21"/>
      <c r="P62" s="21"/>
      <c r="Q62" s="21"/>
      <c r="R62" s="21"/>
      <c r="S62" s="21"/>
      <c r="T62" s="21"/>
      <c r="U62" s="21"/>
      <c r="V62" s="21"/>
      <c r="W62" s="21"/>
      <c r="X62" s="21"/>
      <c r="Y62" s="21"/>
      <c r="Z62" s="21"/>
    </row>
    <row r="63" ht="15.75" customHeight="1">
      <c r="A63" s="30" t="s">
        <v>78</v>
      </c>
      <c r="B63" s="31">
        <v>1995.0</v>
      </c>
      <c r="C63" s="31">
        <v>1998.0</v>
      </c>
      <c r="D63" s="33">
        <v>29.6311125</v>
      </c>
      <c r="E63" s="33" t="s">
        <v>214</v>
      </c>
      <c r="F63" s="33" t="s">
        <v>214</v>
      </c>
      <c r="G63" s="33" t="s">
        <v>214</v>
      </c>
      <c r="H63" s="33">
        <v>137.2966</v>
      </c>
      <c r="I63" s="33">
        <v>39.24507</v>
      </c>
      <c r="J63" s="33">
        <v>45.0</v>
      </c>
      <c r="K63" s="33">
        <v>108.05359999999999</v>
      </c>
      <c r="L63" s="21"/>
      <c r="M63" s="21"/>
      <c r="N63" s="21"/>
      <c r="O63" s="21"/>
      <c r="P63" s="21"/>
      <c r="Q63" s="21"/>
      <c r="R63" s="21"/>
      <c r="S63" s="21"/>
      <c r="T63" s="21"/>
      <c r="U63" s="21"/>
      <c r="V63" s="21"/>
      <c r="W63" s="21"/>
      <c r="X63" s="21"/>
      <c r="Y63" s="21"/>
      <c r="Z63" s="21"/>
    </row>
    <row r="64" ht="15.75" customHeight="1">
      <c r="A64" s="30" t="s">
        <v>78</v>
      </c>
      <c r="B64" s="31">
        <v>2014.0</v>
      </c>
      <c r="C64" s="31" t="s">
        <v>233</v>
      </c>
      <c r="D64" s="33">
        <v>0.0</v>
      </c>
      <c r="E64" s="33" t="s">
        <v>214</v>
      </c>
      <c r="F64" s="33" t="s">
        <v>214</v>
      </c>
      <c r="G64" s="33" t="s">
        <v>214</v>
      </c>
      <c r="H64" s="33">
        <v>33.39</v>
      </c>
      <c r="I64" s="33">
        <v>22.38</v>
      </c>
      <c r="J64" s="33">
        <v>25.7</v>
      </c>
      <c r="K64" s="33">
        <v>3.1638627468293476</v>
      </c>
      <c r="L64" s="21"/>
      <c r="M64" s="21"/>
      <c r="N64" s="21"/>
      <c r="O64" s="21"/>
      <c r="P64" s="21"/>
      <c r="Q64" s="21"/>
      <c r="R64" s="21"/>
      <c r="S64" s="21"/>
      <c r="T64" s="21"/>
      <c r="U64" s="21"/>
      <c r="V64" s="21"/>
      <c r="W64" s="21"/>
      <c r="X64" s="21"/>
      <c r="Y64" s="21"/>
      <c r="Z64" s="21"/>
    </row>
    <row r="65" ht="15.75" customHeight="1">
      <c r="A65" s="30" t="s">
        <v>234</v>
      </c>
      <c r="B65" s="31">
        <v>1993.0</v>
      </c>
      <c r="C65" s="31">
        <v>1993.0</v>
      </c>
      <c r="D65" s="33">
        <v>0.0</v>
      </c>
      <c r="E65" s="33" t="s">
        <v>214</v>
      </c>
      <c r="F65" s="33" t="s">
        <v>214</v>
      </c>
      <c r="G65" s="33" t="s">
        <v>214</v>
      </c>
      <c r="H65" s="33">
        <v>1.833009</v>
      </c>
      <c r="I65" s="33">
        <v>1.68026</v>
      </c>
      <c r="J65" s="33" t="s">
        <v>214</v>
      </c>
      <c r="K65" s="33">
        <v>-240.98860000000002</v>
      </c>
      <c r="L65" s="21"/>
      <c r="M65" s="21"/>
      <c r="N65" s="21"/>
      <c r="O65" s="21"/>
      <c r="P65" s="21"/>
      <c r="Q65" s="21"/>
      <c r="R65" s="21"/>
      <c r="S65" s="21"/>
      <c r="T65" s="21"/>
      <c r="U65" s="21"/>
      <c r="V65" s="21"/>
      <c r="W65" s="21"/>
      <c r="X65" s="21"/>
      <c r="Y65" s="21"/>
      <c r="Z65" s="21"/>
    </row>
    <row r="66" ht="15.75" customHeight="1">
      <c r="A66" s="30" t="s">
        <v>235</v>
      </c>
      <c r="B66" s="31">
        <v>1994.0</v>
      </c>
      <c r="C66" s="31">
        <v>1998.0</v>
      </c>
      <c r="D66" s="33">
        <v>37.5491285</v>
      </c>
      <c r="E66" s="33" t="s">
        <v>214</v>
      </c>
      <c r="F66" s="33" t="s">
        <v>214</v>
      </c>
      <c r="G66" s="33" t="s">
        <v>214</v>
      </c>
      <c r="H66" s="33">
        <v>4.766555</v>
      </c>
      <c r="I66" s="33" t="s">
        <v>214</v>
      </c>
      <c r="J66" s="33" t="s">
        <v>214</v>
      </c>
      <c r="K66" s="33">
        <v>-119.382</v>
      </c>
      <c r="L66" s="21"/>
      <c r="M66" s="21"/>
      <c r="N66" s="21"/>
      <c r="O66" s="21"/>
      <c r="P66" s="21"/>
      <c r="Q66" s="21"/>
      <c r="R66" s="21"/>
      <c r="S66" s="21"/>
      <c r="T66" s="21"/>
      <c r="U66" s="21"/>
      <c r="V66" s="21"/>
      <c r="W66" s="21"/>
      <c r="X66" s="21"/>
      <c r="Y66" s="21"/>
      <c r="Z66" s="21"/>
    </row>
    <row r="67" ht="15.75" customHeight="1">
      <c r="A67" s="30" t="s">
        <v>236</v>
      </c>
      <c r="B67" s="31">
        <v>1991.0</v>
      </c>
      <c r="C67" s="34">
        <v>1995.0</v>
      </c>
      <c r="D67" s="33">
        <v>0.0</v>
      </c>
      <c r="E67" s="33">
        <v>10.0</v>
      </c>
      <c r="F67" s="33" t="s">
        <v>214</v>
      </c>
      <c r="G67" s="35">
        <v>21.276596069335938</v>
      </c>
      <c r="H67" s="33">
        <v>47.02957</v>
      </c>
      <c r="I67" s="33">
        <v>4.6216</v>
      </c>
      <c r="J67" s="33">
        <v>23.0</v>
      </c>
      <c r="K67" s="33">
        <v>19.6031</v>
      </c>
      <c r="L67" s="21"/>
      <c r="M67" s="21"/>
      <c r="N67" s="21"/>
      <c r="O67" s="21"/>
      <c r="P67" s="21"/>
      <c r="Q67" s="21"/>
      <c r="R67" s="21"/>
      <c r="S67" s="21"/>
      <c r="T67" s="21"/>
      <c r="U67" s="21"/>
      <c r="V67" s="21"/>
      <c r="W67" s="21"/>
      <c r="X67" s="21"/>
      <c r="Y67" s="21"/>
      <c r="Z67" s="21"/>
    </row>
    <row r="68" ht="15.75" customHeight="1">
      <c r="A68" s="36" t="s">
        <v>236</v>
      </c>
      <c r="B68" s="31">
        <v>2008.0</v>
      </c>
      <c r="C68" s="34">
        <v>2012.0</v>
      </c>
      <c r="D68" s="33">
        <v>37.309933</v>
      </c>
      <c r="E68" s="33">
        <f>+'Additional Details'!AB47*100</f>
        <v>2.85</v>
      </c>
      <c r="F68" s="33">
        <v>0.08000000000000021</v>
      </c>
      <c r="G68" s="35">
        <v>4.0662007331848145</v>
      </c>
      <c r="H68" s="33">
        <v>2.34</v>
      </c>
      <c r="I68" s="33">
        <v>2.2</v>
      </c>
      <c r="J68" s="33">
        <f>+'Additional Details'!AB45*100</f>
        <v>17.32</v>
      </c>
      <c r="K68" s="33">
        <v>3.7774046735413416</v>
      </c>
      <c r="L68" s="21"/>
      <c r="M68" s="21"/>
      <c r="N68" s="21"/>
      <c r="O68" s="21"/>
      <c r="P68" s="21"/>
      <c r="Q68" s="21"/>
      <c r="R68" s="21"/>
      <c r="S68" s="21"/>
      <c r="T68" s="21"/>
      <c r="U68" s="21"/>
      <c r="V68" s="21"/>
      <c r="W68" s="21"/>
      <c r="X68" s="21"/>
      <c r="Y68" s="21"/>
      <c r="Z68" s="21"/>
    </row>
    <row r="69" ht="15.75" customHeight="1">
      <c r="A69" s="30" t="s">
        <v>86</v>
      </c>
      <c r="B69" s="31">
        <v>2008.0</v>
      </c>
      <c r="C69" s="34">
        <v>2012.0</v>
      </c>
      <c r="D69" s="33">
        <v>34.497215</v>
      </c>
      <c r="E69" s="33">
        <v>37.6</v>
      </c>
      <c r="F69" s="33">
        <v>3.3</v>
      </c>
      <c r="G69" s="35">
        <v>14.3</v>
      </c>
      <c r="H69" s="33">
        <v>33.82</v>
      </c>
      <c r="I69" s="33">
        <v>28.07</v>
      </c>
      <c r="J69" s="33">
        <v>61.199999999999996</v>
      </c>
      <c r="K69" s="33">
        <v>67.91697427708432</v>
      </c>
      <c r="L69" s="21"/>
      <c r="M69" s="21"/>
      <c r="N69" s="21"/>
      <c r="O69" s="21"/>
      <c r="P69" s="21"/>
      <c r="Q69" s="21"/>
      <c r="R69" s="21"/>
      <c r="S69" s="21"/>
      <c r="T69" s="21"/>
      <c r="U69" s="21"/>
      <c r="V69" s="21"/>
      <c r="W69" s="21"/>
      <c r="X69" s="21"/>
      <c r="Y69" s="21"/>
      <c r="Z69" s="21"/>
    </row>
    <row r="70" ht="15.75" customHeight="1">
      <c r="A70" s="30" t="s">
        <v>87</v>
      </c>
      <c r="B70" s="31">
        <v>1993.0</v>
      </c>
      <c r="C70" s="31">
        <v>1993.0</v>
      </c>
      <c r="D70" s="33">
        <v>0.0</v>
      </c>
      <c r="E70" s="33" t="s">
        <v>214</v>
      </c>
      <c r="F70" s="33" t="s">
        <v>214</v>
      </c>
      <c r="G70" s="33" t="s">
        <v>214</v>
      </c>
      <c r="H70" s="33">
        <v>4.280926</v>
      </c>
      <c r="I70" s="33">
        <v>3.6257699999999997</v>
      </c>
      <c r="J70" s="33">
        <v>20.0</v>
      </c>
      <c r="K70" s="33">
        <v>-7.73688</v>
      </c>
      <c r="L70" s="21"/>
      <c r="M70" s="21"/>
      <c r="N70" s="21"/>
      <c r="O70" s="21"/>
      <c r="P70" s="21"/>
      <c r="Q70" s="21"/>
      <c r="R70" s="21"/>
      <c r="S70" s="21"/>
      <c r="T70" s="21"/>
      <c r="U70" s="21"/>
      <c r="V70" s="21"/>
      <c r="W70" s="21"/>
      <c r="X70" s="21"/>
      <c r="Y70" s="21"/>
      <c r="Z70" s="21"/>
    </row>
    <row r="71" ht="15.75" customHeight="1">
      <c r="A71" s="30" t="s">
        <v>88</v>
      </c>
      <c r="B71" s="31">
        <v>1997.0</v>
      </c>
      <c r="C71" s="34">
        <v>2001.0</v>
      </c>
      <c r="D71" s="33">
        <v>69.0195015</v>
      </c>
      <c r="E71" s="33">
        <v>56.8</v>
      </c>
      <c r="F71" s="33">
        <v>52.19999999999999</v>
      </c>
      <c r="G71" s="35">
        <v>105.41944885253906</v>
      </c>
      <c r="H71" s="33">
        <v>23.12321</v>
      </c>
      <c r="I71" s="33">
        <v>17.19079</v>
      </c>
      <c r="J71" s="33">
        <v>32.5</v>
      </c>
      <c r="K71" s="33">
        <v>67.56022</v>
      </c>
      <c r="L71" s="21"/>
      <c r="M71" s="21"/>
      <c r="N71" s="21"/>
      <c r="O71" s="21"/>
      <c r="P71" s="21"/>
      <c r="Q71" s="21"/>
      <c r="R71" s="21"/>
      <c r="S71" s="21"/>
      <c r="T71" s="21"/>
      <c r="U71" s="21"/>
      <c r="V71" s="21"/>
      <c r="W71" s="21"/>
      <c r="X71" s="21"/>
      <c r="Y71" s="21"/>
      <c r="Z71" s="21"/>
    </row>
    <row r="72" ht="15.75" customHeight="1">
      <c r="A72" s="30" t="s">
        <v>90</v>
      </c>
      <c r="B72" s="31">
        <v>2008.0</v>
      </c>
      <c r="C72" s="34">
        <v>2012.0</v>
      </c>
      <c r="D72" s="33">
        <v>107.71813</v>
      </c>
      <c r="E72" s="33">
        <f>+'Additional Details'!AE47*100</f>
        <v>37.63</v>
      </c>
      <c r="F72" s="33">
        <v>26.76</v>
      </c>
      <c r="G72" s="35">
        <v>4.463338375091553</v>
      </c>
      <c r="H72" s="33">
        <v>18.05</v>
      </c>
      <c r="I72" s="33">
        <v>15.39</v>
      </c>
      <c r="J72" s="33">
        <f>100*'Additional Details'!AE45</f>
        <v>25.71</v>
      </c>
      <c r="K72" s="33">
        <v>76.53736156769145</v>
      </c>
      <c r="L72" s="21"/>
      <c r="M72" s="21"/>
      <c r="N72" s="21"/>
      <c r="O72" s="21"/>
      <c r="P72" s="21"/>
      <c r="Q72" s="21"/>
      <c r="R72" s="21"/>
      <c r="S72" s="21"/>
      <c r="T72" s="21"/>
      <c r="U72" s="21"/>
      <c r="V72" s="21"/>
      <c r="W72" s="21"/>
      <c r="X72" s="21"/>
      <c r="Y72" s="21"/>
      <c r="Z72" s="21"/>
    </row>
    <row r="73" ht="15.75" customHeight="1">
      <c r="A73" s="30" t="s">
        <v>91</v>
      </c>
      <c r="B73" s="31">
        <v>1983.0</v>
      </c>
      <c r="C73" s="31">
        <v>1986.0</v>
      </c>
      <c r="D73" s="33">
        <v>42.68</v>
      </c>
      <c r="E73" s="33">
        <v>30.0</v>
      </c>
      <c r="F73" s="33" t="s">
        <v>214</v>
      </c>
      <c r="G73" s="35">
        <v>30.86</v>
      </c>
      <c r="H73" s="33">
        <v>5.34</v>
      </c>
      <c r="I73" s="33" t="s">
        <v>213</v>
      </c>
      <c r="J73" s="33" t="s">
        <v>214</v>
      </c>
      <c r="K73" s="33" t="s">
        <v>214</v>
      </c>
      <c r="L73" s="21"/>
      <c r="M73" s="21"/>
      <c r="N73" s="21"/>
      <c r="O73" s="21"/>
      <c r="P73" s="21"/>
      <c r="Q73" s="21"/>
      <c r="R73" s="21"/>
      <c r="S73" s="21"/>
      <c r="T73" s="21"/>
      <c r="U73" s="21"/>
      <c r="V73" s="21"/>
      <c r="W73" s="21"/>
      <c r="X73" s="21"/>
      <c r="Y73" s="21"/>
      <c r="Z73" s="21"/>
    </row>
    <row r="74" ht="15.75" customHeight="1">
      <c r="A74" s="30" t="s">
        <v>92</v>
      </c>
      <c r="B74" s="31">
        <v>2008.0</v>
      </c>
      <c r="C74" s="31">
        <v>2009.0</v>
      </c>
      <c r="D74" s="33">
        <v>32.216835</v>
      </c>
      <c r="E74" s="33">
        <f>+'Additional Details'!AF47*100</f>
        <v>0.73</v>
      </c>
      <c r="F74" s="33">
        <v>0.65</v>
      </c>
      <c r="G74" s="35">
        <v>0.34482988715171814</v>
      </c>
      <c r="H74" s="33">
        <v>19.35</v>
      </c>
      <c r="I74" s="33">
        <v>17.82</v>
      </c>
      <c r="J74" s="33">
        <f>100*'Additional Details'!AF45</f>
        <v>18.03</v>
      </c>
      <c r="K74" s="33">
        <v>8.588238076910958</v>
      </c>
      <c r="L74" s="21"/>
      <c r="M74" s="21"/>
      <c r="N74" s="21"/>
      <c r="O74" s="21"/>
      <c r="P74" s="21"/>
      <c r="Q74" s="21"/>
      <c r="R74" s="21"/>
      <c r="S74" s="21"/>
      <c r="T74" s="21"/>
      <c r="U74" s="21"/>
      <c r="V74" s="21"/>
      <c r="W74" s="21"/>
      <c r="X74" s="21"/>
      <c r="Y74" s="21"/>
      <c r="Z74" s="21"/>
    </row>
    <row r="75" ht="15.75" customHeight="1">
      <c r="A75" s="30" t="s">
        <v>93</v>
      </c>
      <c r="B75" s="31">
        <v>1996.0</v>
      </c>
      <c r="C75" s="31">
        <v>1998.0</v>
      </c>
      <c r="D75" s="33">
        <v>37.7891885</v>
      </c>
      <c r="E75" s="33">
        <v>43.9</v>
      </c>
      <c r="F75" s="33">
        <v>38.95</v>
      </c>
      <c r="G75" s="35">
        <v>161.3970489501953</v>
      </c>
      <c r="H75" s="33">
        <v>0.370034</v>
      </c>
      <c r="I75" s="33">
        <v>0.33939</v>
      </c>
      <c r="J75" s="33">
        <v>28.9</v>
      </c>
      <c r="K75" s="33">
        <v>2.9386</v>
      </c>
      <c r="L75" s="21"/>
      <c r="M75" s="21"/>
      <c r="N75" s="21"/>
      <c r="O75" s="21"/>
      <c r="P75" s="21"/>
      <c r="Q75" s="21"/>
      <c r="R75" s="21"/>
      <c r="S75" s="21"/>
      <c r="T75" s="21"/>
      <c r="U75" s="21"/>
      <c r="V75" s="21"/>
      <c r="W75" s="21"/>
      <c r="X75" s="21"/>
      <c r="Y75" s="21"/>
      <c r="Z75" s="21"/>
    </row>
    <row r="76" ht="15.75" customHeight="1">
      <c r="A76" s="30" t="s">
        <v>94</v>
      </c>
      <c r="B76" s="31">
        <v>1997.0</v>
      </c>
      <c r="C76" s="37" t="s">
        <v>237</v>
      </c>
      <c r="D76" s="33">
        <v>44.999780099999995</v>
      </c>
      <c r="E76" s="33">
        <v>8.6</v>
      </c>
      <c r="F76" s="33">
        <v>8.51</v>
      </c>
      <c r="G76" s="35">
        <v>3.156310796737671</v>
      </c>
      <c r="H76" s="33">
        <v>2.418041</v>
      </c>
      <c r="I76" s="33">
        <v>1.5770099999999998</v>
      </c>
      <c r="J76" s="33">
        <v>35.0</v>
      </c>
      <c r="K76" s="33">
        <v>41.73192</v>
      </c>
      <c r="L76" s="21"/>
      <c r="M76" s="21"/>
      <c r="N76" s="21"/>
      <c r="O76" s="21"/>
      <c r="P76" s="21"/>
      <c r="Q76" s="21"/>
      <c r="R76" s="21"/>
      <c r="S76" s="21"/>
      <c r="T76" s="21"/>
      <c r="U76" s="21"/>
      <c r="V76" s="21"/>
      <c r="W76" s="21"/>
      <c r="X76" s="21"/>
      <c r="Y76" s="21"/>
      <c r="Z76" s="21"/>
    </row>
    <row r="77" ht="15.75" customHeight="1">
      <c r="A77" s="30" t="s">
        <v>95</v>
      </c>
      <c r="B77" s="31">
        <v>1989.0</v>
      </c>
      <c r="C77" s="31">
        <v>1991.0</v>
      </c>
      <c r="D77" s="33">
        <v>106.3742018</v>
      </c>
      <c r="E77" s="33">
        <v>10.0</v>
      </c>
      <c r="F77" s="33" t="s">
        <v>214</v>
      </c>
      <c r="G77" s="35">
        <v>12.514078140258789</v>
      </c>
      <c r="H77" s="33">
        <v>20.66872</v>
      </c>
      <c r="I77" s="33">
        <v>16.11607</v>
      </c>
      <c r="J77" s="33" t="s">
        <v>214</v>
      </c>
      <c r="K77" s="33">
        <v>-61.012409999999996</v>
      </c>
      <c r="L77" s="21"/>
      <c r="M77" s="21"/>
      <c r="N77" s="21"/>
      <c r="O77" s="21"/>
      <c r="P77" s="21"/>
      <c r="Q77" s="21"/>
      <c r="R77" s="21"/>
      <c r="S77" s="21"/>
      <c r="T77" s="21"/>
      <c r="U77" s="21"/>
      <c r="V77" s="21"/>
      <c r="W77" s="21"/>
      <c r="X77" s="21"/>
      <c r="Y77" s="21"/>
      <c r="Z77" s="21"/>
    </row>
    <row r="78" ht="15.75" customHeight="1">
      <c r="A78" s="39" t="s">
        <v>238</v>
      </c>
      <c r="B78" s="31">
        <v>2008.0</v>
      </c>
      <c r="C78" s="31">
        <v>2008.0</v>
      </c>
      <c r="D78" s="33">
        <v>0.0</v>
      </c>
      <c r="E78" s="33">
        <v>3.6999999999999997</v>
      </c>
      <c r="F78" s="33">
        <v>3.6999999999999997</v>
      </c>
      <c r="G78" s="35">
        <v>7.535641670227051</v>
      </c>
      <c r="H78" s="33">
        <v>6.56</v>
      </c>
      <c r="I78" s="33">
        <v>5.27</v>
      </c>
      <c r="J78" s="33">
        <f>+'Additional Details'!AI45*100</f>
        <v>37.7</v>
      </c>
      <c r="K78" s="33">
        <v>6.533745344288206</v>
      </c>
      <c r="L78" s="21"/>
      <c r="M78" s="21"/>
      <c r="N78" s="21"/>
      <c r="O78" s="21"/>
      <c r="P78" s="21"/>
      <c r="Q78" s="21"/>
      <c r="R78" s="21"/>
      <c r="S78" s="21"/>
      <c r="T78" s="21"/>
      <c r="U78" s="21"/>
      <c r="V78" s="21"/>
      <c r="W78" s="21"/>
      <c r="X78" s="21"/>
      <c r="Y78" s="21"/>
      <c r="Z78" s="21"/>
    </row>
    <row r="79" ht="15.75" customHeight="1">
      <c r="A79" s="40" t="s">
        <v>97</v>
      </c>
      <c r="B79" s="31">
        <v>1985.0</v>
      </c>
      <c r="C79" s="31">
        <v>1985.0</v>
      </c>
      <c r="D79" s="33">
        <v>23.6851914</v>
      </c>
      <c r="E79" s="33" t="s">
        <v>214</v>
      </c>
      <c r="F79" s="33" t="s">
        <v>214</v>
      </c>
      <c r="G79" s="33" t="s">
        <v>214</v>
      </c>
      <c r="H79" s="33">
        <v>1.988765</v>
      </c>
      <c r="I79" s="33">
        <v>1.88066</v>
      </c>
      <c r="J79" s="33" t="s">
        <v>214</v>
      </c>
      <c r="K79" s="33">
        <v>11.030009999999999</v>
      </c>
      <c r="L79" s="21"/>
      <c r="M79" s="21"/>
      <c r="N79" s="21"/>
      <c r="O79" s="21"/>
      <c r="P79" s="21"/>
      <c r="Q79" s="21"/>
      <c r="R79" s="21"/>
      <c r="S79" s="21"/>
      <c r="T79" s="21"/>
      <c r="U79" s="21"/>
      <c r="V79" s="21"/>
      <c r="W79" s="21"/>
      <c r="X79" s="21"/>
      <c r="Y79" s="21"/>
      <c r="Z79" s="21"/>
    </row>
    <row r="80" ht="15.75" customHeight="1">
      <c r="A80" s="40" t="s">
        <v>97</v>
      </c>
      <c r="B80" s="31">
        <v>1992.0</v>
      </c>
      <c r="C80" s="31">
        <v>1994.0</v>
      </c>
      <c r="D80" s="33">
        <v>50.291201900000004</v>
      </c>
      <c r="E80" s="33" t="s">
        <v>214</v>
      </c>
      <c r="F80" s="33" t="s">
        <v>214</v>
      </c>
      <c r="G80" s="33" t="s">
        <v>214</v>
      </c>
      <c r="H80" s="33">
        <v>25.151089999999996</v>
      </c>
      <c r="I80" s="33">
        <v>24.264969999999998</v>
      </c>
      <c r="J80" s="33" t="s">
        <v>214</v>
      </c>
      <c r="K80" s="33">
        <v>12.050089999999999</v>
      </c>
      <c r="L80" s="21"/>
      <c r="M80" s="21"/>
      <c r="N80" s="21"/>
      <c r="O80" s="21"/>
      <c r="P80" s="21"/>
      <c r="Q80" s="21"/>
      <c r="R80" s="21"/>
      <c r="S80" s="21"/>
      <c r="T80" s="21"/>
      <c r="U80" s="21"/>
      <c r="V80" s="21"/>
      <c r="W80" s="21"/>
      <c r="X80" s="21"/>
      <c r="Y80" s="21"/>
      <c r="Z80" s="21"/>
    </row>
    <row r="81" ht="15.75" customHeight="1">
      <c r="A81" s="40" t="s">
        <v>99</v>
      </c>
      <c r="B81" s="31">
        <v>1997.0</v>
      </c>
      <c r="C81" s="31">
        <v>1998.0</v>
      </c>
      <c r="D81" s="33">
        <v>57.58705</v>
      </c>
      <c r="E81" s="33">
        <v>31.2</v>
      </c>
      <c r="F81" s="33">
        <v>23.2</v>
      </c>
      <c r="G81" s="35">
        <v>57.21621322631836</v>
      </c>
      <c r="H81" s="33">
        <v>27.448869999999996</v>
      </c>
      <c r="I81" s="33">
        <v>11.92423</v>
      </c>
      <c r="J81" s="33">
        <v>35.0</v>
      </c>
      <c r="K81" s="33">
        <v>9.91172</v>
      </c>
      <c r="L81" s="21"/>
      <c r="M81" s="21"/>
      <c r="N81" s="21"/>
      <c r="O81" s="21"/>
      <c r="P81" s="21"/>
      <c r="Q81" s="21"/>
      <c r="R81" s="21"/>
      <c r="S81" s="21"/>
      <c r="T81" s="21"/>
      <c r="U81" s="21"/>
      <c r="V81" s="21"/>
      <c r="W81" s="21"/>
      <c r="X81" s="21"/>
      <c r="Y81" s="21"/>
      <c r="Z81" s="21"/>
    </row>
    <row r="82" ht="15.75" customHeight="1">
      <c r="A82" s="40" t="s">
        <v>100</v>
      </c>
      <c r="B82" s="31">
        <v>1982.0</v>
      </c>
      <c r="C82" s="31">
        <v>1985.0</v>
      </c>
      <c r="D82" s="33">
        <v>143.4340569</v>
      </c>
      <c r="E82" s="33" t="s">
        <v>214</v>
      </c>
      <c r="F82" s="33" t="s">
        <v>214</v>
      </c>
      <c r="G82" s="33" t="s">
        <v>214</v>
      </c>
      <c r="H82" s="33">
        <v>9.597325</v>
      </c>
      <c r="I82" s="33">
        <v>2.8840399999999997</v>
      </c>
      <c r="J82" s="33">
        <v>40.0</v>
      </c>
      <c r="K82" s="33">
        <v>16.249</v>
      </c>
      <c r="L82" s="21"/>
      <c r="M82" s="21"/>
      <c r="N82" s="21"/>
      <c r="O82" s="21"/>
      <c r="P82" s="21"/>
      <c r="Q82" s="21"/>
      <c r="R82" s="21"/>
      <c r="S82" s="21"/>
      <c r="T82" s="21"/>
      <c r="U82" s="21"/>
      <c r="V82" s="21"/>
      <c r="W82" s="21"/>
      <c r="X82" s="21"/>
      <c r="Y82" s="21"/>
      <c r="Z82" s="21"/>
    </row>
    <row r="83" ht="15.75" customHeight="1">
      <c r="A83" s="40" t="s">
        <v>239</v>
      </c>
      <c r="B83" s="31">
        <v>1995.0</v>
      </c>
      <c r="C83" s="34">
        <v>1999.0</v>
      </c>
      <c r="D83" s="33" t="s">
        <v>214</v>
      </c>
      <c r="E83" s="33" t="s">
        <v>214</v>
      </c>
      <c r="F83" s="33" t="s">
        <v>214</v>
      </c>
      <c r="G83" s="33" t="s">
        <v>214</v>
      </c>
      <c r="H83" s="33">
        <v>286.1311</v>
      </c>
      <c r="I83" s="33">
        <v>51.82416</v>
      </c>
      <c r="J83" s="33">
        <v>85.0</v>
      </c>
      <c r="K83" s="33">
        <v>42.8739</v>
      </c>
      <c r="L83" s="21"/>
      <c r="M83" s="21"/>
      <c r="N83" s="21"/>
      <c r="O83" s="21"/>
      <c r="P83" s="21"/>
      <c r="Q83" s="21"/>
      <c r="R83" s="21"/>
      <c r="S83" s="21"/>
      <c r="T83" s="21"/>
      <c r="U83" s="21"/>
      <c r="V83" s="21"/>
      <c r="W83" s="21"/>
      <c r="X83" s="21"/>
      <c r="Y83" s="21"/>
      <c r="Z83" s="21"/>
    </row>
    <row r="84" ht="15.75" customHeight="1">
      <c r="A84" s="40" t="s">
        <v>240</v>
      </c>
      <c r="B84" s="31">
        <v>1995.0</v>
      </c>
      <c r="C84" s="31">
        <v>1996.0</v>
      </c>
      <c r="D84" s="33" t="s">
        <v>214</v>
      </c>
      <c r="E84" s="33">
        <v>3.0</v>
      </c>
      <c r="F84" s="33">
        <v>3.0</v>
      </c>
      <c r="G84" s="35">
        <v>10.053619384765625</v>
      </c>
      <c r="H84" s="33">
        <v>9.164797</v>
      </c>
      <c r="I84" s="33">
        <v>5.52545</v>
      </c>
      <c r="J84" s="33">
        <v>20.0</v>
      </c>
      <c r="K84" s="33">
        <v>0.42293000000000003</v>
      </c>
      <c r="L84" s="21"/>
      <c r="M84" s="21"/>
      <c r="N84" s="21"/>
      <c r="O84" s="21"/>
      <c r="P84" s="21"/>
      <c r="Q84" s="21"/>
      <c r="R84" s="21"/>
      <c r="S84" s="21"/>
      <c r="T84" s="21"/>
      <c r="U84" s="21"/>
      <c r="V84" s="21"/>
      <c r="W84" s="21"/>
      <c r="X84" s="21"/>
      <c r="Y84" s="21"/>
      <c r="Z84" s="21"/>
    </row>
    <row r="85" ht="15.75" customHeight="1">
      <c r="A85" s="40" t="s">
        <v>103</v>
      </c>
      <c r="B85" s="31">
        <v>2008.0</v>
      </c>
      <c r="C85" s="34">
        <v>2012.0</v>
      </c>
      <c r="D85" s="33">
        <v>93.924309</v>
      </c>
      <c r="E85" s="33">
        <f>+'Additional Details'!AL47*100</f>
        <v>8.1</v>
      </c>
      <c r="F85" s="33">
        <v>3.93</v>
      </c>
      <c r="G85" s="35">
        <v>10.959274291992188</v>
      </c>
      <c r="H85" s="33">
        <v>3.5770264218540078</v>
      </c>
      <c r="I85" s="33">
        <v>3.383764364612866</v>
      </c>
      <c r="J85" s="33">
        <f>+'Additional Details'!AL45*100</f>
        <v>15.93</v>
      </c>
      <c r="K85" s="33">
        <v>27.638768391015446</v>
      </c>
      <c r="L85" s="21"/>
      <c r="M85" s="21"/>
      <c r="N85" s="21"/>
      <c r="O85" s="21"/>
      <c r="P85" s="21"/>
      <c r="Q85" s="21"/>
      <c r="R85" s="21"/>
      <c r="S85" s="21"/>
      <c r="T85" s="21"/>
      <c r="U85" s="21"/>
      <c r="V85" s="21"/>
      <c r="W85" s="21"/>
      <c r="X85" s="21"/>
      <c r="Y85" s="21"/>
      <c r="Z85" s="21"/>
    </row>
    <row r="86" ht="15.75" customHeight="1">
      <c r="A86" s="40" t="s">
        <v>105</v>
      </c>
      <c r="B86" s="31">
        <v>1990.0</v>
      </c>
      <c r="C86" s="31">
        <v>1993.0</v>
      </c>
      <c r="D86" s="33">
        <v>102.2152948</v>
      </c>
      <c r="E86" s="33" t="s">
        <v>214</v>
      </c>
      <c r="F86" s="33" t="s">
        <v>214</v>
      </c>
      <c r="G86" s="33" t="s">
        <v>214</v>
      </c>
      <c r="H86" s="33">
        <v>4.411205</v>
      </c>
      <c r="I86" s="33">
        <v>2.80343</v>
      </c>
      <c r="J86" s="33" t="s">
        <v>214</v>
      </c>
      <c r="K86" s="33" t="s">
        <v>214</v>
      </c>
      <c r="L86" s="21"/>
      <c r="M86" s="21"/>
      <c r="N86" s="21"/>
      <c r="O86" s="21"/>
      <c r="P86" s="21"/>
      <c r="Q86" s="21"/>
      <c r="R86" s="21"/>
      <c r="S86" s="21"/>
      <c r="T86" s="21"/>
      <c r="U86" s="21"/>
      <c r="V86" s="21"/>
      <c r="W86" s="21"/>
      <c r="X86" s="21"/>
      <c r="Y86" s="21"/>
      <c r="Z86" s="21"/>
    </row>
    <row r="87" ht="15.75" customHeight="1">
      <c r="A87" s="40" t="s">
        <v>107</v>
      </c>
      <c r="B87" s="31">
        <v>1991.0</v>
      </c>
      <c r="C87" s="34">
        <v>1995.0</v>
      </c>
      <c r="D87" s="33" t="s">
        <v>214</v>
      </c>
      <c r="E87" s="33" t="s">
        <v>214</v>
      </c>
      <c r="F87" s="33" t="s">
        <v>214</v>
      </c>
      <c r="G87" s="33" t="s">
        <v>214</v>
      </c>
      <c r="H87" s="33">
        <v>85.19892</v>
      </c>
      <c r="I87" s="33">
        <v>84.22068</v>
      </c>
      <c r="J87" s="33" t="s">
        <v>214</v>
      </c>
      <c r="K87" s="33" t="s">
        <v>214</v>
      </c>
      <c r="L87" s="21"/>
      <c r="M87" s="21"/>
      <c r="N87" s="21"/>
      <c r="O87" s="21"/>
      <c r="P87" s="21"/>
      <c r="Q87" s="21"/>
      <c r="R87" s="21"/>
      <c r="S87" s="21"/>
      <c r="T87" s="21"/>
      <c r="U87" s="21"/>
      <c r="V87" s="21"/>
      <c r="W87" s="21"/>
      <c r="X87" s="21"/>
      <c r="Y87" s="21"/>
      <c r="Z87" s="21"/>
    </row>
    <row r="88" ht="15.75" customHeight="1">
      <c r="A88" s="40" t="s">
        <v>241</v>
      </c>
      <c r="B88" s="31">
        <v>1995.0</v>
      </c>
      <c r="C88" s="31">
        <v>1996.0</v>
      </c>
      <c r="D88" s="33" t="s">
        <v>214</v>
      </c>
      <c r="E88" s="33">
        <v>3.1</v>
      </c>
      <c r="F88" s="33">
        <v>2.897105</v>
      </c>
      <c r="G88" s="35">
        <v>18.787878036499023</v>
      </c>
      <c r="H88" s="33">
        <v>27.46764</v>
      </c>
      <c r="I88" s="33">
        <v>18.87309</v>
      </c>
      <c r="J88" s="33">
        <v>32.2</v>
      </c>
      <c r="K88" s="33">
        <v>10.83184</v>
      </c>
      <c r="L88" s="21"/>
      <c r="M88" s="21"/>
      <c r="N88" s="21"/>
      <c r="O88" s="21"/>
      <c r="P88" s="21"/>
      <c r="Q88" s="21"/>
      <c r="R88" s="21"/>
      <c r="S88" s="21"/>
      <c r="T88" s="21"/>
      <c r="U88" s="21"/>
      <c r="V88" s="21"/>
      <c r="W88" s="21"/>
      <c r="X88" s="21"/>
      <c r="Y88" s="21"/>
      <c r="Z88" s="21"/>
    </row>
    <row r="89" ht="15.75" customHeight="1">
      <c r="A89" s="40" t="s">
        <v>110</v>
      </c>
      <c r="B89" s="31">
        <v>2008.0</v>
      </c>
      <c r="C89" s="34">
        <v>2012.0</v>
      </c>
      <c r="D89" s="33">
        <v>43.299248</v>
      </c>
      <c r="E89" s="33">
        <f>+'Additional Details'!AN47*100</f>
        <v>7.2</v>
      </c>
      <c r="F89" s="33">
        <v>5.0</v>
      </c>
      <c r="G89" s="35">
        <v>0.2264275699853897</v>
      </c>
      <c r="H89" s="33">
        <v>5.96</v>
      </c>
      <c r="I89" s="33">
        <v>1.13</v>
      </c>
      <c r="J89" s="33">
        <f>+'Additional Details'!AN45*100</f>
        <v>1.67</v>
      </c>
      <c r="K89" s="33">
        <v>12.671540953961397</v>
      </c>
      <c r="L89" s="21"/>
      <c r="M89" s="21"/>
      <c r="N89" s="21"/>
      <c r="O89" s="21"/>
      <c r="P89" s="21"/>
      <c r="Q89" s="21"/>
      <c r="R89" s="21"/>
      <c r="S89" s="21"/>
      <c r="T89" s="21"/>
      <c r="U89" s="21"/>
      <c r="V89" s="21"/>
      <c r="W89" s="21"/>
      <c r="X89" s="21"/>
      <c r="Y89" s="21"/>
      <c r="Z89" s="21"/>
    </row>
    <row r="90" ht="15.75" customHeight="1">
      <c r="A90" s="40" t="s">
        <v>242</v>
      </c>
      <c r="B90" s="31">
        <v>1993.0</v>
      </c>
      <c r="C90" s="31">
        <v>1995.0</v>
      </c>
      <c r="D90" s="33">
        <v>0.0</v>
      </c>
      <c r="E90" s="33">
        <v>32.0</v>
      </c>
      <c r="F90" s="33" t="s">
        <v>214</v>
      </c>
      <c r="G90" s="35" t="s">
        <v>214</v>
      </c>
      <c r="H90" s="33">
        <v>22.27403</v>
      </c>
      <c r="I90" s="33" t="s">
        <v>214</v>
      </c>
      <c r="J90" s="33">
        <v>70.0</v>
      </c>
      <c r="K90" s="33" t="s">
        <v>214</v>
      </c>
      <c r="L90" s="21"/>
      <c r="M90" s="21"/>
      <c r="N90" s="21"/>
      <c r="O90" s="21"/>
      <c r="P90" s="21"/>
      <c r="Q90" s="21"/>
      <c r="R90" s="21"/>
      <c r="S90" s="21"/>
      <c r="T90" s="21"/>
      <c r="U90" s="21"/>
      <c r="V90" s="21"/>
      <c r="W90" s="21"/>
      <c r="X90" s="21"/>
      <c r="Y90" s="21"/>
      <c r="Z90" s="21"/>
    </row>
    <row r="91" ht="15.75" customHeight="1">
      <c r="A91" s="40" t="s">
        <v>112</v>
      </c>
      <c r="B91" s="31">
        <v>1988.0</v>
      </c>
      <c r="C91" s="31">
        <v>1988.0</v>
      </c>
      <c r="D91" s="33">
        <v>0.0</v>
      </c>
      <c r="E91" s="33" t="s">
        <v>214</v>
      </c>
      <c r="F91" s="33" t="s">
        <v>214</v>
      </c>
      <c r="G91" s="35" t="s">
        <v>214</v>
      </c>
      <c r="H91" s="33">
        <v>20.17953</v>
      </c>
      <c r="I91" s="33">
        <v>19.4023</v>
      </c>
      <c r="J91" s="33">
        <v>25.0</v>
      </c>
      <c r="K91" s="33">
        <v>-25.78864</v>
      </c>
      <c r="L91" s="21"/>
      <c r="M91" s="21"/>
      <c r="N91" s="21"/>
      <c r="O91" s="21"/>
      <c r="P91" s="21"/>
      <c r="Q91" s="21"/>
      <c r="R91" s="21"/>
      <c r="S91" s="21"/>
      <c r="T91" s="21"/>
      <c r="U91" s="21"/>
      <c r="V91" s="21"/>
      <c r="W91" s="21"/>
      <c r="X91" s="21"/>
      <c r="Y91" s="21"/>
      <c r="Z91" s="21"/>
    </row>
    <row r="92" ht="15.75" customHeight="1">
      <c r="A92" s="40" t="s">
        <v>114</v>
      </c>
      <c r="B92" s="31">
        <v>1997.0</v>
      </c>
      <c r="C92" s="31">
        <v>1999.0</v>
      </c>
      <c r="D92" s="33">
        <v>31.4485958</v>
      </c>
      <c r="E92" s="33">
        <v>16.400000000000002</v>
      </c>
      <c r="F92" s="33">
        <v>5.1000000000000005</v>
      </c>
      <c r="G92" s="35">
        <v>12.650416374206543</v>
      </c>
      <c r="H92" s="33">
        <v>9.717911</v>
      </c>
      <c r="I92" s="33">
        <v>8.77468</v>
      </c>
      <c r="J92" s="33">
        <v>30.0</v>
      </c>
      <c r="K92" s="33">
        <v>0.15113</v>
      </c>
      <c r="L92" s="21"/>
      <c r="M92" s="21"/>
      <c r="N92" s="21"/>
      <c r="O92" s="21"/>
      <c r="P92" s="21"/>
      <c r="Q92" s="21"/>
      <c r="R92" s="21"/>
      <c r="S92" s="21"/>
      <c r="T92" s="21"/>
      <c r="U92" s="21"/>
      <c r="V92" s="21"/>
      <c r="W92" s="21"/>
      <c r="X92" s="21"/>
      <c r="Y92" s="21"/>
      <c r="Z92" s="21"/>
    </row>
    <row r="93" ht="15.75" customHeight="1">
      <c r="A93" s="40" t="s">
        <v>116</v>
      </c>
      <c r="B93" s="31">
        <v>1987.0</v>
      </c>
      <c r="C93" s="34">
        <v>1991.0</v>
      </c>
      <c r="D93" s="33">
        <v>0.0</v>
      </c>
      <c r="E93" s="33" t="s">
        <v>214</v>
      </c>
      <c r="F93" s="33" t="s">
        <v>214</v>
      </c>
      <c r="G93" s="35" t="s">
        <v>214</v>
      </c>
      <c r="H93" s="33">
        <v>50.52423</v>
      </c>
      <c r="I93" s="33">
        <v>14.83972</v>
      </c>
      <c r="J93" s="33">
        <v>75.0</v>
      </c>
      <c r="K93" s="33">
        <v>-11.29271</v>
      </c>
      <c r="L93" s="21"/>
      <c r="M93" s="21"/>
      <c r="N93" s="21"/>
      <c r="O93" s="21"/>
      <c r="P93" s="21"/>
      <c r="Q93" s="21"/>
      <c r="R93" s="21"/>
      <c r="S93" s="21"/>
      <c r="T93" s="21"/>
      <c r="U93" s="21"/>
      <c r="V93" s="21"/>
      <c r="W93" s="21"/>
      <c r="X93" s="21"/>
      <c r="Y93" s="21"/>
      <c r="Z93" s="21"/>
    </row>
    <row r="94" ht="15.75" customHeight="1">
      <c r="A94" s="40" t="s">
        <v>117</v>
      </c>
      <c r="B94" s="31">
        <v>1984.0</v>
      </c>
      <c r="C94" s="31">
        <v>1984.0</v>
      </c>
      <c r="D94" s="33">
        <v>7.5051325</v>
      </c>
      <c r="E94" s="33">
        <v>15.0</v>
      </c>
      <c r="F94" s="33" t="s">
        <v>214</v>
      </c>
      <c r="G94" s="35">
        <v>53.19148635864258</v>
      </c>
      <c r="H94" s="33">
        <v>48.394</v>
      </c>
      <c r="I94" s="33">
        <v>27.721709999999998</v>
      </c>
      <c r="J94" s="33">
        <v>70.0</v>
      </c>
      <c r="K94" s="33" t="s">
        <v>214</v>
      </c>
      <c r="L94" s="21"/>
      <c r="M94" s="21"/>
      <c r="N94" s="21"/>
      <c r="O94" s="21"/>
      <c r="P94" s="21"/>
      <c r="Q94" s="21"/>
      <c r="R94" s="21"/>
      <c r="S94" s="21"/>
      <c r="T94" s="21"/>
      <c r="U94" s="21"/>
      <c r="V94" s="21"/>
      <c r="W94" s="21"/>
      <c r="X94" s="21"/>
      <c r="Y94" s="21"/>
      <c r="Z94" s="21"/>
    </row>
    <row r="95" ht="15.75" customHeight="1">
      <c r="A95" s="40" t="s">
        <v>119</v>
      </c>
      <c r="B95" s="31">
        <v>1981.0</v>
      </c>
      <c r="C95" s="34">
        <v>1985.0</v>
      </c>
      <c r="D95" s="33">
        <v>26.5812033</v>
      </c>
      <c r="E95" s="33" t="s">
        <v>214</v>
      </c>
      <c r="F95" s="33" t="s">
        <v>214</v>
      </c>
      <c r="G95" s="35" t="s">
        <v>214</v>
      </c>
      <c r="H95" s="33">
        <v>5.303944</v>
      </c>
      <c r="I95" s="33">
        <v>2.64167</v>
      </c>
      <c r="J95" s="33" t="s">
        <v>214</v>
      </c>
      <c r="K95" s="33">
        <v>22.5642</v>
      </c>
      <c r="L95" s="21"/>
      <c r="M95" s="21"/>
      <c r="N95" s="21"/>
      <c r="O95" s="21"/>
      <c r="P95" s="21"/>
      <c r="Q95" s="21"/>
      <c r="R95" s="21"/>
      <c r="S95" s="21"/>
      <c r="T95" s="21"/>
      <c r="U95" s="21"/>
      <c r="V95" s="21"/>
      <c r="W95" s="21"/>
      <c r="X95" s="21"/>
      <c r="Y95" s="21"/>
      <c r="Z95" s="21"/>
    </row>
    <row r="96" ht="15.75" customHeight="1">
      <c r="A96" s="40" t="s">
        <v>119</v>
      </c>
      <c r="B96" s="31">
        <v>1994.0</v>
      </c>
      <c r="C96" s="31">
        <v>1996.0</v>
      </c>
      <c r="D96" s="33">
        <v>13.6553753</v>
      </c>
      <c r="E96" s="33">
        <v>19.3</v>
      </c>
      <c r="F96" s="33">
        <v>18.0</v>
      </c>
      <c r="G96" s="35">
        <v>54.93879699707031</v>
      </c>
      <c r="H96" s="33">
        <v>16.75267</v>
      </c>
      <c r="I96" s="33">
        <v>15.79219</v>
      </c>
      <c r="J96" s="33">
        <v>18.9</v>
      </c>
      <c r="K96" s="33">
        <v>16.3687</v>
      </c>
      <c r="L96" s="21"/>
      <c r="M96" s="21"/>
      <c r="N96" s="21"/>
      <c r="O96" s="21"/>
      <c r="P96" s="21"/>
      <c r="Q96" s="21"/>
      <c r="R96" s="21"/>
      <c r="S96" s="21"/>
      <c r="T96" s="21"/>
      <c r="U96" s="21"/>
      <c r="V96" s="21"/>
      <c r="W96" s="21"/>
      <c r="X96" s="21"/>
      <c r="Y96" s="21"/>
      <c r="Z96" s="21"/>
    </row>
    <row r="97" ht="15.75" customHeight="1">
      <c r="A97" s="40" t="s">
        <v>243</v>
      </c>
      <c r="B97" s="31">
        <v>2014.0</v>
      </c>
      <c r="C97" s="31" t="s">
        <v>233</v>
      </c>
      <c r="D97" s="33"/>
      <c r="E97" s="33">
        <f>+'Additional Details'!AQ47*100</f>
        <v>11.7</v>
      </c>
      <c r="F97" s="33">
        <v>11.700000000000001</v>
      </c>
      <c r="G97" s="35">
        <v>26.13941192626953</v>
      </c>
      <c r="H97" s="33">
        <v>24.7</v>
      </c>
      <c r="I97" s="33">
        <v>23.99</v>
      </c>
      <c r="J97" s="33">
        <f>+'Additional Details'!AQ45*100</f>
        <v>16.41</v>
      </c>
      <c r="K97" s="33">
        <v>19.521189643123314</v>
      </c>
      <c r="L97" s="21"/>
      <c r="M97" s="21"/>
      <c r="N97" s="21"/>
      <c r="O97" s="21"/>
      <c r="P97" s="21"/>
      <c r="Q97" s="21"/>
      <c r="R97" s="21"/>
      <c r="S97" s="21"/>
      <c r="T97" s="21"/>
      <c r="U97" s="21"/>
      <c r="V97" s="21"/>
      <c r="W97" s="21"/>
      <c r="X97" s="21"/>
      <c r="Y97" s="21"/>
      <c r="Z97" s="21"/>
    </row>
    <row r="98" ht="15.75" customHeight="1">
      <c r="A98" s="40" t="s">
        <v>244</v>
      </c>
      <c r="B98" s="31">
        <v>2008.0</v>
      </c>
      <c r="C98" s="31">
        <v>2009.0</v>
      </c>
      <c r="D98" s="33">
        <v>0.0</v>
      </c>
      <c r="E98" s="33">
        <f>+'Additional Details'!AR47*100</f>
        <v>5.1</v>
      </c>
      <c r="F98" s="33">
        <v>5.1</v>
      </c>
      <c r="G98" s="35">
        <v>15.269460678100586</v>
      </c>
      <c r="H98" s="33">
        <v>34.45</v>
      </c>
      <c r="I98" s="33">
        <v>33.22</v>
      </c>
      <c r="J98" s="33">
        <f>+'Additional Details'!AR45*100</f>
        <v>20</v>
      </c>
      <c r="K98" s="33">
        <v>-5.027809879091288</v>
      </c>
      <c r="L98" s="21"/>
      <c r="M98" s="21"/>
      <c r="N98" s="21"/>
      <c r="O98" s="21"/>
      <c r="P98" s="21"/>
      <c r="Q98" s="21"/>
      <c r="R98" s="21"/>
      <c r="S98" s="21"/>
      <c r="T98" s="21"/>
      <c r="U98" s="21"/>
      <c r="V98" s="21"/>
      <c r="W98" s="21"/>
      <c r="X98" s="21"/>
      <c r="Y98" s="21"/>
      <c r="Z98" s="21"/>
    </row>
    <row r="99" ht="15.75" customHeight="1">
      <c r="A99" s="40" t="s">
        <v>123</v>
      </c>
      <c r="B99" s="31">
        <v>1980.0</v>
      </c>
      <c r="C99" s="34">
        <v>1984.0</v>
      </c>
      <c r="D99" s="33">
        <v>21.9245253</v>
      </c>
      <c r="E99" s="33" t="s">
        <v>214</v>
      </c>
      <c r="F99" s="33" t="s">
        <v>214</v>
      </c>
      <c r="G99" s="33" t="s">
        <v>214</v>
      </c>
      <c r="H99" s="33">
        <v>22.08919</v>
      </c>
      <c r="I99" s="33">
        <v>8.63237</v>
      </c>
      <c r="J99" s="33" t="s">
        <v>214</v>
      </c>
      <c r="K99" s="33">
        <v>35.6461</v>
      </c>
      <c r="L99" s="21"/>
      <c r="M99" s="21"/>
      <c r="N99" s="21"/>
      <c r="O99" s="21"/>
      <c r="P99" s="21"/>
      <c r="Q99" s="21"/>
      <c r="R99" s="21"/>
      <c r="S99" s="21"/>
      <c r="T99" s="21"/>
      <c r="U99" s="21"/>
      <c r="V99" s="21"/>
      <c r="W99" s="21"/>
      <c r="X99" s="21"/>
      <c r="Y99" s="21"/>
      <c r="Z99" s="21"/>
    </row>
    <row r="100" ht="15.75" customHeight="1">
      <c r="A100" s="40" t="s">
        <v>124</v>
      </c>
      <c r="B100" s="31">
        <v>1987.0</v>
      </c>
      <c r="C100" s="34">
        <v>1991.0</v>
      </c>
      <c r="D100" s="33">
        <v>0.0</v>
      </c>
      <c r="E100" s="33" t="s">
        <v>214</v>
      </c>
      <c r="F100" s="33" t="s">
        <v>214</v>
      </c>
      <c r="G100" s="33" t="s">
        <v>214</v>
      </c>
      <c r="H100" s="33">
        <v>4.198764</v>
      </c>
      <c r="I100" s="33">
        <v>4.17345</v>
      </c>
      <c r="J100" s="33" t="s">
        <v>214</v>
      </c>
      <c r="K100" s="33">
        <v>60.856500000000004</v>
      </c>
      <c r="L100" s="21"/>
      <c r="M100" s="21"/>
      <c r="N100" s="21"/>
      <c r="O100" s="21"/>
      <c r="P100" s="21"/>
      <c r="Q100" s="21"/>
      <c r="R100" s="21"/>
      <c r="S100" s="21"/>
      <c r="T100" s="21"/>
      <c r="U100" s="21"/>
      <c r="V100" s="21"/>
      <c r="W100" s="21"/>
      <c r="X100" s="21"/>
      <c r="Y100" s="21"/>
      <c r="Z100" s="21"/>
    </row>
    <row r="101" ht="15.75" customHeight="1">
      <c r="A101" s="40" t="s">
        <v>127</v>
      </c>
      <c r="B101" s="31">
        <v>1988.0</v>
      </c>
      <c r="C101" s="31">
        <v>1988.0</v>
      </c>
      <c r="D101" s="33">
        <v>0.0</v>
      </c>
      <c r="E101" s="33" t="s">
        <v>214</v>
      </c>
      <c r="F101" s="33" t="s">
        <v>214</v>
      </c>
      <c r="G101" s="33" t="s">
        <v>214</v>
      </c>
      <c r="H101" s="33">
        <v>14.61933</v>
      </c>
      <c r="I101" s="33">
        <v>3.75686</v>
      </c>
      <c r="J101" s="33">
        <v>28.999999999999996</v>
      </c>
      <c r="K101" s="33">
        <v>11.659329999999999</v>
      </c>
      <c r="L101" s="21"/>
      <c r="M101" s="21"/>
      <c r="N101" s="21"/>
      <c r="O101" s="21"/>
      <c r="P101" s="21"/>
      <c r="Q101" s="21"/>
      <c r="R101" s="21"/>
      <c r="S101" s="21"/>
      <c r="T101" s="21"/>
      <c r="U101" s="21"/>
      <c r="V101" s="21"/>
      <c r="W101" s="21"/>
      <c r="X101" s="21"/>
      <c r="Y101" s="21"/>
      <c r="Z101" s="21"/>
    </row>
    <row r="102" ht="15.75" customHeight="1">
      <c r="A102" s="40" t="s">
        <v>128</v>
      </c>
      <c r="B102" s="31">
        <v>2008.0</v>
      </c>
      <c r="C102" s="31">
        <v>2009.0</v>
      </c>
      <c r="D102" s="33">
        <v>26.144409</v>
      </c>
      <c r="E102" s="33">
        <f>+'Additional Details'!AS47*100</f>
        <v>14.3</v>
      </c>
      <c r="F102" s="33">
        <v>5.06</v>
      </c>
      <c r="G102" s="35">
        <v>4.044636249542236</v>
      </c>
      <c r="H102" s="33">
        <v>5.49</v>
      </c>
      <c r="I102" s="33">
        <v>3.5</v>
      </c>
      <c r="J102" s="33">
        <f>100*'Additional Details'!AS45</f>
        <v>3.2</v>
      </c>
      <c r="K102" s="33">
        <v>24.932260907824396</v>
      </c>
      <c r="L102" s="21"/>
      <c r="M102" s="21"/>
      <c r="N102" s="21"/>
      <c r="O102" s="21"/>
      <c r="P102" s="21"/>
      <c r="Q102" s="21"/>
      <c r="R102" s="21"/>
      <c r="S102" s="21"/>
      <c r="T102" s="21"/>
      <c r="U102" s="21"/>
      <c r="V102" s="21"/>
      <c r="W102" s="21"/>
      <c r="X102" s="21"/>
      <c r="Y102" s="21"/>
      <c r="Z102" s="21"/>
    </row>
    <row r="103" ht="15.75" customHeight="1">
      <c r="A103" s="40" t="s">
        <v>131</v>
      </c>
      <c r="B103" s="31">
        <v>1990.0</v>
      </c>
      <c r="C103" s="31">
        <v>1993.0</v>
      </c>
      <c r="D103" s="33">
        <v>11.356760000000001</v>
      </c>
      <c r="E103" s="33" t="s">
        <v>214</v>
      </c>
      <c r="F103" s="33" t="s">
        <v>214</v>
      </c>
      <c r="G103" s="35" t="s">
        <v>214</v>
      </c>
      <c r="H103" s="33">
        <v>195.0514</v>
      </c>
      <c r="I103" s="33">
        <v>156.4689</v>
      </c>
      <c r="J103" s="33">
        <v>50.0</v>
      </c>
      <c r="K103" s="33">
        <v>-31.04428</v>
      </c>
      <c r="L103" s="21"/>
      <c r="M103" s="21"/>
      <c r="N103" s="21"/>
      <c r="O103" s="21"/>
      <c r="P103" s="21"/>
      <c r="Q103" s="21"/>
      <c r="R103" s="21"/>
      <c r="S103" s="21"/>
      <c r="T103" s="21"/>
      <c r="U103" s="21"/>
      <c r="V103" s="21"/>
      <c r="W103" s="21"/>
      <c r="X103" s="21"/>
      <c r="Y103" s="21"/>
      <c r="Z103" s="21"/>
    </row>
    <row r="104" ht="15.75" customHeight="1">
      <c r="A104" s="40" t="s">
        <v>131</v>
      </c>
      <c r="B104" s="31">
        <v>2000.0</v>
      </c>
      <c r="C104" s="31">
        <v>2001.0</v>
      </c>
      <c r="D104" s="33">
        <v>0.0</v>
      </c>
      <c r="E104" s="33">
        <v>13.600000000000001</v>
      </c>
      <c r="F104" s="33">
        <v>12.57</v>
      </c>
      <c r="G104" s="35">
        <v>45.74504089355469</v>
      </c>
      <c r="H104" s="33">
        <v>21.81624</v>
      </c>
      <c r="I104" s="33">
        <v>20.939</v>
      </c>
      <c r="J104" s="33">
        <v>12.7</v>
      </c>
      <c r="K104" s="33">
        <v>14.86769</v>
      </c>
      <c r="L104" s="21"/>
      <c r="M104" s="21"/>
      <c r="N104" s="21"/>
      <c r="O104" s="21"/>
      <c r="P104" s="21"/>
      <c r="Q104" s="21"/>
      <c r="R104" s="21"/>
      <c r="S104" s="21"/>
      <c r="T104" s="21"/>
      <c r="U104" s="21"/>
      <c r="V104" s="21"/>
      <c r="W104" s="21"/>
      <c r="X104" s="21"/>
      <c r="Y104" s="21"/>
      <c r="Z104" s="21"/>
    </row>
    <row r="105" ht="15.75" customHeight="1">
      <c r="A105" s="40" t="s">
        <v>133</v>
      </c>
      <c r="B105" s="31">
        <v>1983.0</v>
      </c>
      <c r="C105" s="31">
        <v>1985.0</v>
      </c>
      <c r="D105" s="33">
        <v>97.21156859999999</v>
      </c>
      <c r="E105" s="33" t="s">
        <v>214</v>
      </c>
      <c r="F105" s="33" t="s">
        <v>214</v>
      </c>
      <c r="G105" s="35" t="s">
        <v>214</v>
      </c>
      <c r="H105" s="33">
        <v>45.58891</v>
      </c>
      <c r="I105" s="33">
        <v>14.073730000000001</v>
      </c>
      <c r="J105" s="33">
        <v>50.0</v>
      </c>
      <c r="K105" s="33">
        <v>25.89894</v>
      </c>
      <c r="L105" s="21"/>
      <c r="M105" s="21"/>
      <c r="N105" s="21"/>
      <c r="O105" s="21"/>
      <c r="P105" s="21"/>
      <c r="Q105" s="21"/>
      <c r="R105" s="21"/>
      <c r="S105" s="21"/>
      <c r="T105" s="21"/>
      <c r="U105" s="21"/>
      <c r="V105" s="21"/>
      <c r="W105" s="21"/>
      <c r="X105" s="21"/>
      <c r="Y105" s="21"/>
      <c r="Z105" s="21"/>
    </row>
    <row r="106" ht="15.75" customHeight="1">
      <c r="A106" s="30" t="s">
        <v>134</v>
      </c>
      <c r="B106" s="31">
        <v>1991.0</v>
      </c>
      <c r="C106" s="34">
        <v>1995.0</v>
      </c>
      <c r="D106" s="33">
        <v>0.0</v>
      </c>
      <c r="E106" s="33" t="s">
        <v>214</v>
      </c>
      <c r="F106" s="33" t="s">
        <v>214</v>
      </c>
      <c r="G106" s="35" t="s">
        <v>214</v>
      </c>
      <c r="H106" s="33">
        <v>6.636552</v>
      </c>
      <c r="I106" s="33">
        <v>5.44128</v>
      </c>
      <c r="J106" s="33">
        <v>77.0</v>
      </c>
      <c r="K106" s="33">
        <v>63.33274</v>
      </c>
      <c r="L106" s="21"/>
      <c r="M106" s="21"/>
      <c r="N106" s="21"/>
      <c r="O106" s="21"/>
      <c r="P106" s="21"/>
      <c r="Q106" s="21"/>
      <c r="R106" s="21"/>
      <c r="S106" s="21"/>
      <c r="T106" s="21"/>
      <c r="U106" s="21"/>
      <c r="V106" s="21"/>
      <c r="W106" s="21"/>
      <c r="X106" s="21"/>
      <c r="Y106" s="21"/>
      <c r="Z106" s="21"/>
    </row>
    <row r="107" ht="15.75" customHeight="1">
      <c r="A107" s="40" t="s">
        <v>134</v>
      </c>
      <c r="B107" s="31">
        <v>2009.0</v>
      </c>
      <c r="C107" s="31">
        <v>2012.0</v>
      </c>
      <c r="D107" s="33">
        <v>14.000000000000002</v>
      </c>
      <c r="E107" s="33">
        <v>11.799999999999999</v>
      </c>
      <c r="F107" s="33">
        <v>11.799999999999999</v>
      </c>
      <c r="G107" s="35">
        <v>32.161354064941406</v>
      </c>
      <c r="H107" s="33">
        <v>49.59</v>
      </c>
      <c r="I107" s="33">
        <v>32.88</v>
      </c>
      <c r="J107" s="33">
        <f>+'Additional Details'!AU45*100</f>
        <v>30.1</v>
      </c>
      <c r="K107" s="33">
        <v>8.421080530883717</v>
      </c>
      <c r="L107" s="21"/>
      <c r="M107" s="21"/>
      <c r="N107" s="21"/>
      <c r="O107" s="21"/>
      <c r="P107" s="21"/>
      <c r="Q107" s="21"/>
      <c r="R107" s="21"/>
      <c r="S107" s="21"/>
      <c r="T107" s="21"/>
      <c r="U107" s="21"/>
      <c r="V107" s="21"/>
      <c r="W107" s="21"/>
      <c r="X107" s="21"/>
      <c r="Y107" s="21"/>
      <c r="Z107" s="21"/>
    </row>
    <row r="108" ht="15.75" customHeight="1">
      <c r="A108" s="40" t="s">
        <v>136</v>
      </c>
      <c r="B108" s="31">
        <v>1991.0</v>
      </c>
      <c r="C108" s="31">
        <v>1993.0</v>
      </c>
      <c r="D108" s="33">
        <v>5.1451541</v>
      </c>
      <c r="E108" s="33">
        <v>2.7</v>
      </c>
      <c r="F108" s="33">
        <v>0.5999999999999999</v>
      </c>
      <c r="G108" s="35">
        <v>2.7570712566375732</v>
      </c>
      <c r="H108" s="33">
        <v>16.92388</v>
      </c>
      <c r="I108" s="33">
        <v>4.16451</v>
      </c>
      <c r="J108" s="33">
        <v>16.4</v>
      </c>
      <c r="K108" s="33">
        <v>19.206409999999998</v>
      </c>
      <c r="L108" s="21"/>
      <c r="M108" s="21"/>
      <c r="N108" s="21"/>
      <c r="O108" s="21"/>
      <c r="P108" s="21"/>
      <c r="Q108" s="21"/>
      <c r="R108" s="21"/>
      <c r="S108" s="21"/>
      <c r="T108" s="21"/>
      <c r="U108" s="21"/>
      <c r="V108" s="21"/>
      <c r="W108" s="21"/>
      <c r="X108" s="21"/>
      <c r="Y108" s="21"/>
      <c r="Z108" s="21"/>
    </row>
    <row r="109" ht="15.75" customHeight="1">
      <c r="A109" s="40" t="s">
        <v>138</v>
      </c>
      <c r="B109" s="31">
        <v>1988.0</v>
      </c>
      <c r="C109" s="31">
        <v>1989.0</v>
      </c>
      <c r="D109" s="33">
        <v>85.0427975</v>
      </c>
      <c r="E109" s="33">
        <v>12.9</v>
      </c>
      <c r="F109" s="33" t="s">
        <v>214</v>
      </c>
      <c r="G109" s="35">
        <v>24.36720848083496</v>
      </c>
      <c r="H109" s="33">
        <v>3.62861</v>
      </c>
      <c r="I109" s="33">
        <v>3.1889000000000003</v>
      </c>
      <c r="J109" s="33" t="s">
        <v>214</v>
      </c>
      <c r="K109" s="33">
        <v>-2.56787</v>
      </c>
      <c r="L109" s="21"/>
      <c r="M109" s="21"/>
      <c r="N109" s="21"/>
      <c r="O109" s="21"/>
      <c r="P109" s="21"/>
      <c r="Q109" s="21"/>
      <c r="R109" s="21"/>
      <c r="S109" s="21"/>
      <c r="T109" s="21"/>
      <c r="U109" s="21"/>
      <c r="V109" s="21"/>
      <c r="W109" s="21"/>
      <c r="X109" s="21"/>
      <c r="Y109" s="21"/>
      <c r="Z109" s="21"/>
    </row>
    <row r="110" ht="15.75" customHeight="1">
      <c r="A110" s="40" t="s">
        <v>140</v>
      </c>
      <c r="B110" s="31">
        <v>1995.0</v>
      </c>
      <c r="C110" s="31">
        <v>1995.0</v>
      </c>
      <c r="D110" s="33">
        <v>15.3319632</v>
      </c>
      <c r="E110" s="33">
        <v>12.9</v>
      </c>
      <c r="F110" s="33">
        <v>10.0</v>
      </c>
      <c r="G110" s="35">
        <v>54.94037628173828</v>
      </c>
      <c r="H110" s="33">
        <v>27.256820000000005</v>
      </c>
      <c r="I110" s="33">
        <v>23.84142</v>
      </c>
      <c r="J110" s="33">
        <v>8.1</v>
      </c>
      <c r="K110" s="33">
        <v>-1.17301</v>
      </c>
      <c r="L110" s="21"/>
      <c r="M110" s="21"/>
      <c r="N110" s="21"/>
      <c r="O110" s="21"/>
      <c r="P110" s="21"/>
      <c r="Q110" s="21"/>
      <c r="R110" s="21"/>
      <c r="S110" s="21"/>
      <c r="T110" s="21"/>
      <c r="U110" s="21"/>
      <c r="V110" s="21"/>
      <c r="W110" s="21"/>
      <c r="X110" s="21"/>
      <c r="Y110" s="21"/>
      <c r="Z110" s="21"/>
    </row>
    <row r="111" ht="15.75" customHeight="1">
      <c r="A111" s="40" t="s">
        <v>141</v>
      </c>
      <c r="B111" s="31">
        <v>1983.0</v>
      </c>
      <c r="C111" s="34">
        <v>1983.0</v>
      </c>
      <c r="D111" s="33">
        <v>55.2062804</v>
      </c>
      <c r="E111" s="33" t="s">
        <v>214</v>
      </c>
      <c r="F111" s="33" t="s">
        <v>214</v>
      </c>
      <c r="G111" s="33" t="s">
        <v>214</v>
      </c>
      <c r="H111" s="33">
        <v>16.75523</v>
      </c>
      <c r="I111" s="33">
        <v>9.67862</v>
      </c>
      <c r="J111" s="33" t="s">
        <v>214</v>
      </c>
      <c r="K111" s="33">
        <v>14.32159</v>
      </c>
      <c r="L111" s="21"/>
      <c r="M111" s="21"/>
      <c r="N111" s="21"/>
      <c r="O111" s="21"/>
      <c r="P111" s="21"/>
      <c r="Q111" s="21"/>
      <c r="R111" s="21"/>
      <c r="S111" s="21"/>
      <c r="T111" s="21"/>
      <c r="U111" s="21"/>
      <c r="V111" s="21"/>
      <c r="W111" s="21"/>
      <c r="X111" s="21"/>
      <c r="Y111" s="21"/>
      <c r="Z111" s="21"/>
    </row>
    <row r="112" ht="15.75" customHeight="1">
      <c r="A112" s="40" t="s">
        <v>142</v>
      </c>
      <c r="B112" s="31">
        <v>1983.0</v>
      </c>
      <c r="C112" s="31">
        <v>1986.0</v>
      </c>
      <c r="D112" s="33">
        <v>91.6734513</v>
      </c>
      <c r="E112" s="33">
        <v>3.0</v>
      </c>
      <c r="F112" s="33" t="s">
        <v>214</v>
      </c>
      <c r="G112" s="35">
        <v>5.941770553588867</v>
      </c>
      <c r="H112" s="33">
        <v>19.39821</v>
      </c>
      <c r="I112" s="33">
        <v>1.50363</v>
      </c>
      <c r="J112" s="33">
        <v>19.0</v>
      </c>
      <c r="K112" s="33">
        <v>44.82588</v>
      </c>
      <c r="L112" s="21"/>
      <c r="M112" s="21"/>
      <c r="N112" s="21"/>
      <c r="O112" s="21"/>
      <c r="P112" s="21"/>
      <c r="Q112" s="21"/>
      <c r="R112" s="21"/>
      <c r="S112" s="21"/>
      <c r="T112" s="21"/>
      <c r="U112" s="21"/>
      <c r="V112" s="21"/>
      <c r="W112" s="21"/>
      <c r="X112" s="21"/>
      <c r="Y112" s="21"/>
      <c r="Z112" s="21"/>
    </row>
    <row r="113" ht="15.75" customHeight="1">
      <c r="A113" s="40" t="s">
        <v>245</v>
      </c>
      <c r="B113" s="31">
        <v>1997.0</v>
      </c>
      <c r="C113" s="34">
        <v>2001.0</v>
      </c>
      <c r="D113" s="33">
        <v>0.0</v>
      </c>
      <c r="E113" s="33">
        <v>13.200000000000001</v>
      </c>
      <c r="F113" s="33">
        <v>13.200000000000001</v>
      </c>
      <c r="G113" s="35">
        <v>22.456619262695312</v>
      </c>
      <c r="H113" s="33">
        <v>1.353341</v>
      </c>
      <c r="I113" s="33">
        <v>0.6951200000000001</v>
      </c>
      <c r="J113" s="33">
        <v>20.0</v>
      </c>
      <c r="K113" s="33">
        <v>10.36228</v>
      </c>
      <c r="L113" s="21"/>
      <c r="M113" s="21"/>
      <c r="N113" s="21"/>
      <c r="O113" s="21"/>
      <c r="P113" s="21"/>
      <c r="Q113" s="21"/>
      <c r="R113" s="21"/>
      <c r="S113" s="21"/>
      <c r="T113" s="21"/>
      <c r="U113" s="21"/>
      <c r="V113" s="21"/>
      <c r="W113" s="21"/>
      <c r="X113" s="21"/>
      <c r="Y113" s="21"/>
      <c r="Z113" s="21"/>
    </row>
    <row r="114" ht="15.75" customHeight="1">
      <c r="A114" s="40" t="s">
        <v>246</v>
      </c>
      <c r="B114" s="31">
        <v>1992.0</v>
      </c>
      <c r="C114" s="31">
        <v>1994.0</v>
      </c>
      <c r="D114" s="33">
        <v>0.0</v>
      </c>
      <c r="E114" s="33">
        <v>3.5000000000000004</v>
      </c>
      <c r="F114" s="33" t="s">
        <v>214</v>
      </c>
      <c r="G114" s="35">
        <v>13.714733123779297</v>
      </c>
      <c r="H114" s="33">
        <v>45.85497</v>
      </c>
      <c r="I114" s="33">
        <v>8.7365</v>
      </c>
      <c r="J114" s="33">
        <v>24.0</v>
      </c>
      <c r="K114" s="33">
        <v>-21.56903</v>
      </c>
      <c r="L114" s="21"/>
      <c r="M114" s="21"/>
      <c r="N114" s="21"/>
      <c r="O114" s="21"/>
      <c r="P114" s="21"/>
      <c r="Q114" s="21"/>
      <c r="R114" s="21"/>
      <c r="S114" s="21"/>
      <c r="T114" s="21"/>
      <c r="U114" s="21"/>
      <c r="V114" s="21"/>
      <c r="W114" s="21"/>
      <c r="X114" s="21"/>
      <c r="Y114" s="21"/>
      <c r="Z114" s="21"/>
    </row>
    <row r="115" ht="15.75" customHeight="1">
      <c r="A115" s="30" t="s">
        <v>247</v>
      </c>
      <c r="B115" s="31">
        <v>2008.0</v>
      </c>
      <c r="C115" s="34">
        <v>2012.0</v>
      </c>
      <c r="D115" s="33">
        <v>34.954834</v>
      </c>
      <c r="E115" s="33">
        <f>+'Additional Details'!AY47*100</f>
        <v>11.05</v>
      </c>
      <c r="F115" s="33">
        <v>7.630000000000001</v>
      </c>
      <c r="G115" s="35">
        <v>4.4081950187683105</v>
      </c>
      <c r="H115" s="33">
        <v>25.73</v>
      </c>
      <c r="I115" s="33">
        <v>24.7</v>
      </c>
      <c r="J115" s="33">
        <f>100*'Additional Details'!AY45</f>
        <v>12.9</v>
      </c>
      <c r="K115" s="33">
        <v>38.51533559716567</v>
      </c>
      <c r="L115" s="21"/>
      <c r="M115" s="21"/>
      <c r="N115" s="21"/>
      <c r="O115" s="21"/>
      <c r="P115" s="21"/>
      <c r="Q115" s="21"/>
      <c r="R115" s="21"/>
      <c r="S115" s="21"/>
      <c r="T115" s="21"/>
      <c r="U115" s="21"/>
      <c r="V115" s="21"/>
      <c r="W115" s="21"/>
      <c r="X115" s="21"/>
      <c r="Y115" s="21"/>
      <c r="Z115" s="21"/>
    </row>
    <row r="116" ht="15.75" customHeight="1">
      <c r="A116" s="30" t="s">
        <v>248</v>
      </c>
      <c r="B116" s="31">
        <v>1998.0</v>
      </c>
      <c r="C116" s="34">
        <v>1999.0</v>
      </c>
      <c r="D116" s="33">
        <v>0.0</v>
      </c>
      <c r="E116" s="33">
        <v>6.5</v>
      </c>
      <c r="F116" s="33" t="s">
        <v>214</v>
      </c>
      <c r="G116" s="35">
        <v>34.31890106201172</v>
      </c>
      <c r="H116" s="33">
        <v>129.1273</v>
      </c>
      <c r="I116" s="33" t="s">
        <v>214</v>
      </c>
      <c r="J116" s="33">
        <v>30.0</v>
      </c>
      <c r="K116" s="33" t="s">
        <v>214</v>
      </c>
      <c r="L116" s="21"/>
      <c r="M116" s="21"/>
      <c r="N116" s="21"/>
      <c r="O116" s="21"/>
      <c r="P116" s="21"/>
      <c r="Q116" s="21"/>
      <c r="R116" s="21"/>
      <c r="S116" s="21"/>
      <c r="T116" s="21"/>
      <c r="U116" s="21"/>
      <c r="V116" s="21"/>
      <c r="W116" s="21"/>
      <c r="X116" s="21"/>
      <c r="Y116" s="21"/>
      <c r="Z116" s="21"/>
    </row>
    <row r="117" ht="15.75" customHeight="1">
      <c r="A117" s="30" t="s">
        <v>249</v>
      </c>
      <c r="B117" s="31">
        <v>1998.0</v>
      </c>
      <c r="C117" s="34">
        <v>1998.0</v>
      </c>
      <c r="D117" s="33" t="s">
        <v>214</v>
      </c>
      <c r="E117" s="33">
        <v>6.0</v>
      </c>
      <c r="F117" s="33">
        <v>6.0</v>
      </c>
      <c r="G117" s="35">
        <v>0.3088008165359497</v>
      </c>
      <c r="H117" s="33">
        <v>23.72316</v>
      </c>
      <c r="I117" s="33">
        <v>21.097369999999998</v>
      </c>
      <c r="J117" s="33">
        <v>40.0</v>
      </c>
      <c r="K117" s="33">
        <v>-7.08714</v>
      </c>
      <c r="L117" s="21"/>
      <c r="M117" s="21"/>
      <c r="N117" s="21"/>
      <c r="O117" s="21"/>
      <c r="P117" s="21"/>
      <c r="Q117" s="21"/>
      <c r="R117" s="21"/>
      <c r="S117" s="21"/>
      <c r="T117" s="21"/>
      <c r="U117" s="21"/>
      <c r="V117" s="21"/>
      <c r="W117" s="21"/>
      <c r="X117" s="21"/>
      <c r="Y117" s="21"/>
      <c r="Z117" s="21"/>
    </row>
    <row r="118" ht="15.75" customHeight="1">
      <c r="A118" s="36" t="s">
        <v>249</v>
      </c>
      <c r="B118" s="31">
        <v>2008.0</v>
      </c>
      <c r="C118" s="31">
        <v>2009.0</v>
      </c>
      <c r="D118" s="33">
        <v>0.0</v>
      </c>
      <c r="E118" s="33">
        <v>2.3</v>
      </c>
      <c r="F118" s="33">
        <v>2.3</v>
      </c>
      <c r="G118" s="35">
        <v>6.35710334777832</v>
      </c>
      <c r="H118" s="33">
        <v>24.16</v>
      </c>
      <c r="I118" s="33">
        <v>23.31</v>
      </c>
      <c r="J118" s="33">
        <f>+'Additional Details'!BA45*100</f>
        <v>9.62</v>
      </c>
      <c r="K118" s="33">
        <v>6.063770515397084</v>
      </c>
      <c r="L118" s="21"/>
      <c r="M118" s="21"/>
      <c r="N118" s="21"/>
      <c r="O118" s="21"/>
      <c r="P118" s="21"/>
      <c r="Q118" s="21"/>
      <c r="R118" s="21"/>
      <c r="S118" s="21"/>
      <c r="T118" s="21"/>
      <c r="U118" s="21"/>
      <c r="V118" s="21"/>
      <c r="W118" s="21"/>
      <c r="X118" s="21"/>
      <c r="Y118" s="21"/>
      <c r="Z118" s="21"/>
    </row>
    <row r="119" ht="15.75" customHeight="1">
      <c r="A119" s="30" t="s">
        <v>250</v>
      </c>
      <c r="B119" s="31">
        <v>1992.0</v>
      </c>
      <c r="C119" s="34">
        <v>1992.0</v>
      </c>
      <c r="D119" s="33">
        <v>1.9215802</v>
      </c>
      <c r="E119" s="33" t="s">
        <v>214</v>
      </c>
      <c r="F119" s="33" t="s">
        <v>214</v>
      </c>
      <c r="G119" s="35" t="s">
        <v>214</v>
      </c>
      <c r="H119" s="33" t="s">
        <v>214</v>
      </c>
      <c r="I119" s="33" t="s">
        <v>214</v>
      </c>
      <c r="J119" s="33">
        <v>90.0</v>
      </c>
      <c r="K119" s="33">
        <v>-706.25</v>
      </c>
      <c r="L119" s="21"/>
      <c r="M119" s="21"/>
      <c r="N119" s="21"/>
      <c r="O119" s="21"/>
      <c r="P119" s="21"/>
      <c r="Q119" s="21"/>
      <c r="R119" s="21"/>
      <c r="S119" s="21"/>
      <c r="T119" s="21"/>
      <c r="U119" s="21"/>
      <c r="V119" s="21"/>
      <c r="W119" s="21"/>
      <c r="X119" s="21"/>
      <c r="Y119" s="21"/>
      <c r="Z119" s="21"/>
    </row>
    <row r="120" ht="15.75" customHeight="1">
      <c r="A120" s="30" t="s">
        <v>152</v>
      </c>
      <c r="B120" s="31">
        <v>1988.0</v>
      </c>
      <c r="C120" s="31">
        <v>1991.0</v>
      </c>
      <c r="D120" s="33">
        <v>5.5736737000000005</v>
      </c>
      <c r="E120" s="33">
        <v>17.0</v>
      </c>
      <c r="F120" s="33" t="s">
        <v>214</v>
      </c>
      <c r="G120" s="35">
        <v>64.2479248046875</v>
      </c>
      <c r="H120" s="33">
        <v>74.67224</v>
      </c>
      <c r="I120" s="33">
        <v>6.5512500000000005</v>
      </c>
      <c r="J120" s="33">
        <v>50.0</v>
      </c>
      <c r="K120" s="33">
        <v>-14.215839999999998</v>
      </c>
      <c r="L120" s="21"/>
      <c r="M120" s="21"/>
      <c r="N120" s="21"/>
      <c r="O120" s="21"/>
      <c r="P120" s="21"/>
      <c r="Q120" s="21"/>
      <c r="R120" s="21"/>
      <c r="S120" s="21"/>
      <c r="T120" s="21"/>
      <c r="U120" s="21"/>
      <c r="V120" s="21"/>
      <c r="W120" s="21"/>
      <c r="X120" s="21"/>
      <c r="Y120" s="21"/>
      <c r="Z120" s="21"/>
    </row>
    <row r="121" ht="15.75" customHeight="1">
      <c r="A121" s="30" t="s">
        <v>155</v>
      </c>
      <c r="B121" s="31">
        <v>1990.0</v>
      </c>
      <c r="C121" s="34">
        <v>1994.0</v>
      </c>
      <c r="D121" s="33">
        <v>34.4622887</v>
      </c>
      <c r="E121" s="33" t="s">
        <v>214</v>
      </c>
      <c r="F121" s="33" t="s">
        <v>214</v>
      </c>
      <c r="G121" s="33" t="s">
        <v>214</v>
      </c>
      <c r="H121" s="33">
        <v>0.0</v>
      </c>
      <c r="I121" s="33">
        <v>0.0</v>
      </c>
      <c r="J121" s="33">
        <v>45.0</v>
      </c>
      <c r="K121" s="33">
        <v>62.903960000000005</v>
      </c>
      <c r="L121" s="21"/>
      <c r="M121" s="21"/>
      <c r="N121" s="21"/>
      <c r="O121" s="21"/>
      <c r="P121" s="21"/>
      <c r="Q121" s="21"/>
      <c r="R121" s="21"/>
      <c r="S121" s="21"/>
      <c r="T121" s="21"/>
      <c r="U121" s="21"/>
      <c r="V121" s="21"/>
      <c r="W121" s="21"/>
      <c r="X121" s="21"/>
      <c r="Y121" s="21"/>
      <c r="Z121" s="21"/>
    </row>
    <row r="122" ht="15.75" customHeight="1">
      <c r="A122" s="30" t="s">
        <v>251</v>
      </c>
      <c r="B122" s="31">
        <v>1998.0</v>
      </c>
      <c r="C122" s="34">
        <v>2002.0</v>
      </c>
      <c r="D122" s="33">
        <v>0.0</v>
      </c>
      <c r="E122" s="33" t="s">
        <v>214</v>
      </c>
      <c r="F122" s="33" t="s">
        <v>214</v>
      </c>
      <c r="G122" s="33" t="s">
        <v>214</v>
      </c>
      <c r="H122" s="33">
        <v>13.017289999999997</v>
      </c>
      <c r="I122" s="33">
        <v>4.84035</v>
      </c>
      <c r="J122" s="33">
        <v>35.0</v>
      </c>
      <c r="K122" s="33">
        <v>15.399389999999999</v>
      </c>
      <c r="L122" s="21"/>
      <c r="M122" s="21"/>
      <c r="N122" s="21"/>
      <c r="O122" s="21"/>
      <c r="P122" s="21"/>
      <c r="Q122" s="21"/>
      <c r="R122" s="21"/>
      <c r="S122" s="21"/>
      <c r="T122" s="21"/>
      <c r="U122" s="21"/>
      <c r="V122" s="21"/>
      <c r="W122" s="21"/>
      <c r="X122" s="21"/>
      <c r="Y122" s="21"/>
      <c r="Z122" s="21"/>
    </row>
    <row r="123" ht="15.75" customHeight="1">
      <c r="A123" s="30" t="s">
        <v>252</v>
      </c>
      <c r="B123" s="31">
        <v>1992.0</v>
      </c>
      <c r="C123" s="31">
        <v>1992.0</v>
      </c>
      <c r="D123" s="33" t="s">
        <v>214</v>
      </c>
      <c r="E123" s="33">
        <v>14.6</v>
      </c>
      <c r="F123" s="33" t="s">
        <v>214</v>
      </c>
      <c r="G123" s="35">
        <v>38.1201057434082</v>
      </c>
      <c r="H123" s="33">
        <v>10.04803</v>
      </c>
      <c r="I123" s="33" t="s">
        <v>214</v>
      </c>
      <c r="J123" s="33">
        <v>3.6000000000000005</v>
      </c>
      <c r="K123" s="33" t="s">
        <v>214</v>
      </c>
      <c r="L123" s="21"/>
      <c r="M123" s="21"/>
      <c r="N123" s="21"/>
      <c r="O123" s="21"/>
      <c r="P123" s="21"/>
      <c r="Q123" s="21"/>
      <c r="R123" s="21"/>
      <c r="S123" s="21"/>
      <c r="T123" s="21"/>
      <c r="U123" s="21"/>
      <c r="V123" s="21"/>
      <c r="W123" s="21"/>
      <c r="X123" s="21"/>
      <c r="Y123" s="21"/>
      <c r="Z123" s="21"/>
    </row>
    <row r="124" ht="15.75" customHeight="1">
      <c r="A124" s="30" t="s">
        <v>252</v>
      </c>
      <c r="B124" s="31">
        <v>2008.0</v>
      </c>
      <c r="C124" s="34">
        <v>2012.0</v>
      </c>
      <c r="D124" s="33">
        <v>39.139748</v>
      </c>
      <c r="E124" s="33">
        <f>+'Additional Details'!BB47*100</f>
        <v>9.92</v>
      </c>
      <c r="F124" s="33">
        <v>8.399999999999999</v>
      </c>
      <c r="G124" s="35">
        <v>8.017699241638184</v>
      </c>
      <c r="H124" s="33">
        <v>14.22</v>
      </c>
      <c r="I124" s="33">
        <v>14.01</v>
      </c>
      <c r="J124" s="33">
        <f>+'Additional Details'!BB45*100</f>
        <v>17.97</v>
      </c>
      <c r="K124" s="33">
        <v>20.916426025093628</v>
      </c>
      <c r="L124" s="21"/>
      <c r="M124" s="21"/>
      <c r="N124" s="21"/>
      <c r="O124" s="21"/>
      <c r="P124" s="21"/>
      <c r="Q124" s="21"/>
      <c r="R124" s="21"/>
      <c r="S124" s="21"/>
      <c r="T124" s="21"/>
      <c r="U124" s="21"/>
      <c r="V124" s="21"/>
      <c r="W124" s="21"/>
      <c r="X124" s="21"/>
      <c r="Y124" s="21"/>
      <c r="Z124" s="21"/>
    </row>
    <row r="125" ht="15.75" customHeight="1">
      <c r="A125" s="30" t="s">
        <v>162</v>
      </c>
      <c r="B125" s="31">
        <v>1977.0</v>
      </c>
      <c r="C125" s="34">
        <v>1981.0</v>
      </c>
      <c r="D125" s="33">
        <v>58.5035845</v>
      </c>
      <c r="E125" s="33">
        <f>+'Additional Details'!BC47*100</f>
        <v>7.68</v>
      </c>
      <c r="F125" s="33" t="s">
        <v>214</v>
      </c>
      <c r="G125" s="35">
        <v>8.574299812316895</v>
      </c>
      <c r="H125" s="33">
        <v>7.5600000000000005</v>
      </c>
      <c r="I125" s="33">
        <v>3.45576</v>
      </c>
      <c r="J125" s="33">
        <v>5.8</v>
      </c>
      <c r="K125" s="33">
        <v>3.8</v>
      </c>
      <c r="L125" s="21"/>
      <c r="M125" s="21"/>
      <c r="N125" s="21"/>
      <c r="O125" s="21"/>
      <c r="P125" s="21"/>
      <c r="Q125" s="21"/>
      <c r="R125" s="21"/>
      <c r="S125" s="21"/>
      <c r="T125" s="21"/>
      <c r="U125" s="21"/>
      <c r="V125" s="21"/>
      <c r="W125" s="21"/>
      <c r="X125" s="21"/>
      <c r="Y125" s="21"/>
      <c r="Z125" s="21"/>
    </row>
    <row r="126" ht="15.75" customHeight="1">
      <c r="A126" s="30" t="s">
        <v>162</v>
      </c>
      <c r="B126" s="31">
        <v>2008.0</v>
      </c>
      <c r="C126" s="34">
        <v>2012.0</v>
      </c>
      <c r="D126" s="33">
        <v>38.78093</v>
      </c>
      <c r="E126" s="33">
        <v>5.4</v>
      </c>
      <c r="F126" s="33">
        <v>4.8</v>
      </c>
      <c r="G126" s="35">
        <v>2.0</v>
      </c>
      <c r="H126" s="33">
        <v>33.5</v>
      </c>
      <c r="I126" s="33">
        <v>31.3</v>
      </c>
      <c r="J126" s="33">
        <f>+'Additional Details'!BC45*100</f>
        <v>9.38</v>
      </c>
      <c r="K126" s="33">
        <v>31.830174793261847</v>
      </c>
      <c r="L126" s="21"/>
      <c r="M126" s="21"/>
      <c r="N126" s="21"/>
      <c r="O126" s="21"/>
      <c r="P126" s="21"/>
      <c r="Q126" s="21"/>
      <c r="R126" s="21"/>
      <c r="S126" s="21"/>
      <c r="T126" s="21"/>
      <c r="U126" s="21"/>
      <c r="V126" s="21"/>
      <c r="W126" s="21"/>
      <c r="X126" s="21"/>
      <c r="Y126" s="21"/>
      <c r="Z126" s="21"/>
    </row>
    <row r="127" ht="15.75" customHeight="1">
      <c r="A127" s="30" t="s">
        <v>164</v>
      </c>
      <c r="B127" s="31">
        <v>1989.0</v>
      </c>
      <c r="C127" s="31">
        <v>1991.0</v>
      </c>
      <c r="D127" s="33">
        <v>19.581246</v>
      </c>
      <c r="E127" s="33">
        <v>5.0</v>
      </c>
      <c r="F127" s="33">
        <v>5.0</v>
      </c>
      <c r="G127" s="35">
        <v>21.968364715576172</v>
      </c>
      <c r="H127" s="33">
        <v>8.029677</v>
      </c>
      <c r="I127" s="33">
        <v>2.02349</v>
      </c>
      <c r="J127" s="33">
        <v>35.0</v>
      </c>
      <c r="K127" s="33">
        <v>-5.5</v>
      </c>
      <c r="L127" s="21"/>
      <c r="M127" s="21"/>
      <c r="N127" s="21"/>
      <c r="O127" s="21"/>
      <c r="P127" s="21"/>
      <c r="Q127" s="21"/>
      <c r="R127" s="21"/>
      <c r="S127" s="21"/>
      <c r="T127" s="21"/>
      <c r="U127" s="21"/>
      <c r="V127" s="21"/>
      <c r="W127" s="21"/>
      <c r="X127" s="21"/>
      <c r="Y127" s="21"/>
      <c r="Z127" s="21"/>
    </row>
    <row r="128" ht="15.75" customHeight="1">
      <c r="A128" s="30" t="s">
        <v>167</v>
      </c>
      <c r="B128" s="31">
        <v>1995.0</v>
      </c>
      <c r="C128" s="34">
        <v>1999.0</v>
      </c>
      <c r="D128" s="33">
        <v>45.689966500000004</v>
      </c>
      <c r="E128" s="33" t="s">
        <v>214</v>
      </c>
      <c r="F128" s="33" t="s">
        <v>214</v>
      </c>
      <c r="G128" s="33" t="s">
        <v>214</v>
      </c>
      <c r="H128" s="33">
        <v>3.608598</v>
      </c>
      <c r="I128" s="33">
        <v>3.17149</v>
      </c>
      <c r="J128" s="33" t="s">
        <v>214</v>
      </c>
      <c r="K128" s="33">
        <v>2.5</v>
      </c>
      <c r="L128" s="21"/>
      <c r="M128" s="21"/>
      <c r="N128" s="21"/>
      <c r="O128" s="21"/>
      <c r="P128" s="21"/>
      <c r="Q128" s="21"/>
      <c r="R128" s="21"/>
      <c r="S128" s="21"/>
      <c r="T128" s="21"/>
      <c r="U128" s="21"/>
      <c r="V128" s="21"/>
      <c r="W128" s="21"/>
      <c r="X128" s="21"/>
      <c r="Y128" s="21"/>
      <c r="Z128" s="21"/>
    </row>
    <row r="129" ht="15.75" customHeight="1">
      <c r="A129" s="30" t="s">
        <v>168</v>
      </c>
      <c r="B129" s="31">
        <v>1991.0</v>
      </c>
      <c r="C129" s="31">
        <v>1995.0</v>
      </c>
      <c r="D129" s="33">
        <v>32.9045968</v>
      </c>
      <c r="E129" s="33">
        <v>3.5999999999999996</v>
      </c>
      <c r="F129" s="33">
        <v>0.19999999999999948</v>
      </c>
      <c r="G129" s="35">
        <v>2.962718963623047</v>
      </c>
      <c r="H129" s="33">
        <v>3.094071</v>
      </c>
      <c r="I129" s="33">
        <v>0.16602</v>
      </c>
      <c r="J129" s="33">
        <v>13.0</v>
      </c>
      <c r="K129" s="33">
        <v>36.199999999999996</v>
      </c>
      <c r="L129" s="21"/>
      <c r="M129" s="21"/>
      <c r="N129" s="21"/>
      <c r="O129" s="21"/>
      <c r="P129" s="21"/>
      <c r="Q129" s="21"/>
      <c r="R129" s="21"/>
      <c r="S129" s="21"/>
      <c r="T129" s="21"/>
      <c r="U129" s="21"/>
      <c r="V129" s="21"/>
      <c r="W129" s="21"/>
      <c r="X129" s="21"/>
      <c r="Y129" s="21"/>
      <c r="Z129" s="21"/>
    </row>
    <row r="130" ht="15.75" customHeight="1">
      <c r="A130" s="36" t="s">
        <v>253</v>
      </c>
      <c r="B130" s="31">
        <v>2008.0</v>
      </c>
      <c r="C130" s="31">
        <v>2009.0</v>
      </c>
      <c r="D130" s="33">
        <v>25.469589</v>
      </c>
      <c r="E130" s="33">
        <f>+'Additional Details'!BF47*100</f>
        <v>0.24</v>
      </c>
      <c r="F130" s="33">
        <v>-0.010000000000000026</v>
      </c>
      <c r="G130" s="35">
        <v>0.20741508901119232</v>
      </c>
      <c r="H130" s="33">
        <v>11.07</v>
      </c>
      <c r="I130" s="33">
        <v>10.97</v>
      </c>
      <c r="J130" s="33">
        <v>2.0</v>
      </c>
      <c r="K130" s="33">
        <v>12.754631872249572</v>
      </c>
      <c r="L130" s="21"/>
      <c r="M130" s="21"/>
      <c r="N130" s="21"/>
      <c r="O130" s="21"/>
      <c r="P130" s="21"/>
      <c r="Q130" s="21"/>
      <c r="R130" s="21"/>
      <c r="S130" s="21"/>
      <c r="T130" s="21"/>
      <c r="U130" s="21"/>
      <c r="V130" s="21"/>
      <c r="W130" s="21"/>
      <c r="X130" s="21"/>
      <c r="Y130" s="21"/>
      <c r="Z130" s="21"/>
    </row>
    <row r="131" ht="15.75" customHeight="1">
      <c r="A131" s="36" t="s">
        <v>254</v>
      </c>
      <c r="B131" s="31">
        <v>2008.0</v>
      </c>
      <c r="C131" s="31">
        <v>2009.0</v>
      </c>
      <c r="D131" s="33">
        <v>0.0</v>
      </c>
      <c r="E131" s="33">
        <v>1.0999999999999999</v>
      </c>
      <c r="F131" s="33">
        <v>-0.4</v>
      </c>
      <c r="G131" s="35">
        <v>0.6851447820663452</v>
      </c>
      <c r="H131" s="33">
        <v>4.61</v>
      </c>
      <c r="I131" s="33">
        <v>3.27</v>
      </c>
      <c r="J131" s="33">
        <v>0.5</v>
      </c>
      <c r="K131" s="33">
        <v>1.5690820651038688</v>
      </c>
      <c r="L131" s="21"/>
      <c r="M131" s="21"/>
      <c r="N131" s="21"/>
      <c r="O131" s="21"/>
      <c r="P131" s="21"/>
      <c r="Q131" s="21"/>
      <c r="R131" s="21"/>
      <c r="S131" s="21"/>
      <c r="T131" s="21"/>
      <c r="U131" s="21"/>
      <c r="V131" s="21"/>
      <c r="W131" s="21"/>
      <c r="X131" s="21"/>
      <c r="Y131" s="21"/>
      <c r="Z131" s="21"/>
    </row>
    <row r="132" ht="15.75" customHeight="1">
      <c r="A132" s="30" t="s">
        <v>172</v>
      </c>
      <c r="B132" s="31">
        <v>1987.0</v>
      </c>
      <c r="C132" s="31">
        <v>1988.0</v>
      </c>
      <c r="D132" s="33">
        <v>0.0</v>
      </c>
      <c r="E132" s="33">
        <v>10.0</v>
      </c>
      <c r="F132" s="33" t="s">
        <v>214</v>
      </c>
      <c r="G132" s="35">
        <v>53.879310607910156</v>
      </c>
      <c r="H132" s="33">
        <v>100.8727</v>
      </c>
      <c r="I132" s="33">
        <v>97.57628</v>
      </c>
      <c r="J132" s="33">
        <v>70.0</v>
      </c>
      <c r="K132" s="33">
        <v>64.59998999999999</v>
      </c>
      <c r="L132" s="21"/>
      <c r="M132" s="21"/>
      <c r="N132" s="21"/>
      <c r="O132" s="21"/>
      <c r="P132" s="21"/>
      <c r="Q132" s="21"/>
      <c r="R132" s="21"/>
      <c r="S132" s="21"/>
      <c r="T132" s="21"/>
      <c r="U132" s="21"/>
      <c r="V132" s="21"/>
      <c r="W132" s="21"/>
      <c r="X132" s="21"/>
      <c r="Y132" s="21"/>
      <c r="Z132" s="21"/>
    </row>
    <row r="133" ht="15.75" customHeight="1">
      <c r="A133" s="30" t="s">
        <v>173</v>
      </c>
      <c r="B133" s="31">
        <v>1983.0</v>
      </c>
      <c r="C133" s="31">
        <v>1983.0</v>
      </c>
      <c r="D133" s="33">
        <v>24.7895156</v>
      </c>
      <c r="E133" s="33">
        <v>0.7000000000000001</v>
      </c>
      <c r="F133" s="33" t="s">
        <v>214</v>
      </c>
      <c r="G133" s="35">
        <v>1.3402259349822998</v>
      </c>
      <c r="H133" s="33">
        <v>8.528919</v>
      </c>
      <c r="I133" s="33">
        <v>1.9764400000000002</v>
      </c>
      <c r="J133" s="33" t="s">
        <v>214</v>
      </c>
      <c r="K133" s="33">
        <v>15.7</v>
      </c>
      <c r="L133" s="21"/>
      <c r="M133" s="21"/>
      <c r="N133" s="21"/>
      <c r="O133" s="21"/>
      <c r="P133" s="21"/>
      <c r="Q133" s="21"/>
      <c r="R133" s="21"/>
      <c r="S133" s="21"/>
      <c r="T133" s="21"/>
      <c r="U133" s="21"/>
      <c r="V133" s="21"/>
      <c r="W133" s="21"/>
      <c r="X133" s="21"/>
      <c r="Y133" s="21"/>
      <c r="Z133" s="21"/>
    </row>
    <row r="134" ht="15.75" customHeight="1">
      <c r="A134" s="30" t="s">
        <v>173</v>
      </c>
      <c r="B134" s="31">
        <v>1997.0</v>
      </c>
      <c r="C134" s="31">
        <v>2000.0</v>
      </c>
      <c r="D134" s="33">
        <v>109.3152874</v>
      </c>
      <c r="E134" s="33">
        <v>43.8</v>
      </c>
      <c r="F134" s="33">
        <v>34.8</v>
      </c>
      <c r="G134" s="35">
        <v>30.640085220336914</v>
      </c>
      <c r="H134" s="33">
        <v>5.079497</v>
      </c>
      <c r="I134" s="33">
        <v>4.37912</v>
      </c>
      <c r="J134" s="33">
        <v>33.0</v>
      </c>
      <c r="K134" s="33">
        <v>42.1</v>
      </c>
      <c r="L134" s="21"/>
      <c r="M134" s="21"/>
      <c r="N134" s="21"/>
      <c r="O134" s="21"/>
      <c r="P134" s="21"/>
      <c r="Q134" s="21"/>
      <c r="R134" s="21"/>
      <c r="S134" s="21"/>
      <c r="T134" s="21"/>
      <c r="U134" s="21"/>
      <c r="V134" s="21"/>
      <c r="W134" s="21"/>
      <c r="X134" s="21"/>
      <c r="Y134" s="21"/>
      <c r="Z134" s="21"/>
    </row>
    <row r="135" ht="15.75" customHeight="1">
      <c r="A135" s="30" t="s">
        <v>174</v>
      </c>
      <c r="B135" s="31">
        <v>1993.0</v>
      </c>
      <c r="C135" s="31">
        <v>1994.0</v>
      </c>
      <c r="D135" s="33">
        <v>38.8148086</v>
      </c>
      <c r="E135" s="33" t="s">
        <v>214</v>
      </c>
      <c r="F135" s="33" t="s">
        <v>214</v>
      </c>
      <c r="G135" s="35" t="s">
        <v>214</v>
      </c>
      <c r="H135" s="33">
        <v>6.187929</v>
      </c>
      <c r="I135" s="33">
        <v>1.67161</v>
      </c>
      <c r="J135" s="33" t="s">
        <v>214</v>
      </c>
      <c r="K135" s="33">
        <v>23.799999999999997</v>
      </c>
      <c r="L135" s="21"/>
      <c r="M135" s="21"/>
      <c r="N135" s="21"/>
      <c r="O135" s="21"/>
      <c r="P135" s="21"/>
      <c r="Q135" s="21"/>
      <c r="R135" s="21"/>
      <c r="S135" s="21"/>
      <c r="T135" s="21"/>
      <c r="U135" s="21"/>
      <c r="V135" s="21"/>
      <c r="W135" s="21"/>
      <c r="X135" s="21"/>
      <c r="Y135" s="21"/>
      <c r="Z135" s="21"/>
    </row>
    <row r="136" ht="15.75" customHeight="1">
      <c r="A136" s="30" t="s">
        <v>176</v>
      </c>
      <c r="B136" s="31">
        <v>1991.0</v>
      </c>
      <c r="C136" s="31">
        <v>1991.0</v>
      </c>
      <c r="D136" s="33">
        <v>1.2686380000000002</v>
      </c>
      <c r="E136" s="33">
        <v>3.0</v>
      </c>
      <c r="F136" s="33" t="s">
        <v>214</v>
      </c>
      <c r="G136" s="35">
        <v>4.975949287414551</v>
      </c>
      <c r="H136" s="33">
        <v>31.53068</v>
      </c>
      <c r="I136" s="33">
        <v>15.078739999999998</v>
      </c>
      <c r="J136" s="33" t="s">
        <v>214</v>
      </c>
      <c r="K136" s="33">
        <v>4.2</v>
      </c>
      <c r="L136" s="21"/>
      <c r="M136" s="21"/>
      <c r="N136" s="21"/>
      <c r="O136" s="21"/>
      <c r="P136" s="21"/>
      <c r="Q136" s="21"/>
      <c r="R136" s="21"/>
      <c r="S136" s="21"/>
      <c r="T136" s="21"/>
      <c r="U136" s="21"/>
      <c r="V136" s="21"/>
      <c r="W136" s="21"/>
      <c r="X136" s="21"/>
      <c r="Y136" s="21"/>
      <c r="Z136" s="21"/>
    </row>
    <row r="137" ht="15.75" customHeight="1">
      <c r="A137" s="30" t="s">
        <v>177</v>
      </c>
      <c r="B137" s="31">
        <v>1982.0</v>
      </c>
      <c r="C137" s="31">
        <v>1984.0</v>
      </c>
      <c r="D137" s="33">
        <v>34.9680042</v>
      </c>
      <c r="E137" s="33">
        <v>2.5</v>
      </c>
      <c r="F137" s="33" t="s">
        <v>214</v>
      </c>
      <c r="G137" s="35">
        <v>11.693171501159668</v>
      </c>
      <c r="H137" s="33">
        <v>71.66162</v>
      </c>
      <c r="I137" s="33">
        <v>29.257070000000002</v>
      </c>
      <c r="J137" s="33" t="s">
        <v>214</v>
      </c>
      <c r="K137" s="33">
        <v>12.3</v>
      </c>
      <c r="L137" s="21"/>
      <c r="M137" s="21"/>
      <c r="N137" s="21"/>
      <c r="O137" s="21"/>
      <c r="P137" s="21"/>
      <c r="Q137" s="21"/>
      <c r="R137" s="21"/>
      <c r="S137" s="21"/>
      <c r="T137" s="21"/>
      <c r="U137" s="21"/>
      <c r="V137" s="21"/>
      <c r="W137" s="21"/>
      <c r="X137" s="21"/>
      <c r="Y137" s="21"/>
      <c r="Z137" s="21"/>
    </row>
    <row r="138" ht="15.75" customHeight="1">
      <c r="A138" s="30" t="s">
        <v>177</v>
      </c>
      <c r="B138" s="31">
        <v>2000.0</v>
      </c>
      <c r="C138" s="31">
        <v>2001.0</v>
      </c>
      <c r="D138" s="33">
        <v>37.61544</v>
      </c>
      <c r="E138" s="33">
        <v>32.0</v>
      </c>
      <c r="F138" s="33">
        <v>30.7</v>
      </c>
      <c r="G138" s="35">
        <v>107.16677856445312</v>
      </c>
      <c r="H138" s="33">
        <v>20.46425</v>
      </c>
      <c r="I138" s="33">
        <v>15.208250000000001</v>
      </c>
      <c r="J138" s="33">
        <v>27.6</v>
      </c>
      <c r="K138" s="33">
        <v>15.299999999999999</v>
      </c>
      <c r="L138" s="21"/>
      <c r="M138" s="21"/>
      <c r="N138" s="21"/>
      <c r="O138" s="21"/>
      <c r="P138" s="21"/>
      <c r="Q138" s="21"/>
      <c r="R138" s="21"/>
      <c r="S138" s="21"/>
      <c r="T138" s="21"/>
      <c r="U138" s="21"/>
      <c r="V138" s="21"/>
      <c r="W138" s="21"/>
      <c r="X138" s="21"/>
      <c r="Y138" s="21"/>
      <c r="Z138" s="21"/>
    </row>
    <row r="139" ht="15.75" customHeight="1">
      <c r="A139" s="30" t="s">
        <v>180</v>
      </c>
      <c r="B139" s="31">
        <v>1994.0</v>
      </c>
      <c r="C139" s="31">
        <v>1994.0</v>
      </c>
      <c r="D139" s="33">
        <v>0.0</v>
      </c>
      <c r="E139" s="33" t="s">
        <v>214</v>
      </c>
      <c r="F139" s="33" t="s">
        <v>214</v>
      </c>
      <c r="G139" s="33" t="s">
        <v>214</v>
      </c>
      <c r="H139" s="33">
        <v>7.646049</v>
      </c>
      <c r="I139" s="33">
        <v>3.9462900000000003</v>
      </c>
      <c r="J139" s="33" t="s">
        <v>214</v>
      </c>
      <c r="K139" s="33">
        <v>-26.900000000000002</v>
      </c>
      <c r="L139" s="21"/>
      <c r="M139" s="21"/>
      <c r="N139" s="21"/>
      <c r="O139" s="21"/>
      <c r="P139" s="21"/>
      <c r="Q139" s="21"/>
      <c r="R139" s="21"/>
      <c r="S139" s="21"/>
      <c r="T139" s="21"/>
      <c r="U139" s="21"/>
      <c r="V139" s="21"/>
      <c r="W139" s="21"/>
      <c r="X139" s="21"/>
      <c r="Y139" s="21"/>
      <c r="Z139" s="21"/>
    </row>
    <row r="140" ht="15.75" customHeight="1">
      <c r="A140" s="30" t="s">
        <v>255</v>
      </c>
      <c r="B140" s="31">
        <v>1998.0</v>
      </c>
      <c r="C140" s="31">
        <v>1999.0</v>
      </c>
      <c r="D140" s="33">
        <v>0.0</v>
      </c>
      <c r="E140" s="33">
        <v>0.0</v>
      </c>
      <c r="F140" s="33">
        <v>0.0</v>
      </c>
      <c r="G140" s="35">
        <v>0.0</v>
      </c>
      <c r="H140" s="33">
        <v>19.05682</v>
      </c>
      <c r="I140" s="33">
        <v>3.3030999999999997</v>
      </c>
      <c r="J140" s="33">
        <v>62.4</v>
      </c>
      <c r="K140" s="33">
        <v>6.0363</v>
      </c>
      <c r="L140" s="21"/>
      <c r="M140" s="21"/>
      <c r="N140" s="21"/>
      <c r="O140" s="21"/>
      <c r="P140" s="21"/>
      <c r="Q140" s="21"/>
      <c r="R140" s="21"/>
      <c r="S140" s="21"/>
      <c r="T140" s="21"/>
      <c r="U140" s="21"/>
      <c r="V140" s="21"/>
      <c r="W140" s="21"/>
      <c r="X140" s="21"/>
      <c r="Y140" s="21"/>
      <c r="Z140" s="21"/>
    </row>
    <row r="141" ht="15.75" customHeight="1">
      <c r="A141" s="30" t="s">
        <v>181</v>
      </c>
      <c r="B141" s="31">
        <v>2008.0</v>
      </c>
      <c r="C141" s="31">
        <v>2010.0</v>
      </c>
      <c r="D141" s="33">
        <v>0.0</v>
      </c>
      <c r="E141" s="33">
        <v>4.5</v>
      </c>
      <c r="F141" s="33">
        <v>4.5</v>
      </c>
      <c r="G141" s="35">
        <v>10.080645561218262</v>
      </c>
      <c r="H141" s="33">
        <v>16.4</v>
      </c>
      <c r="I141" s="33">
        <v>15.83</v>
      </c>
      <c r="J141" s="33">
        <v>15.45</v>
      </c>
      <c r="K141" s="33">
        <v>26.489452617271137</v>
      </c>
      <c r="L141" s="21"/>
      <c r="M141" s="21"/>
      <c r="N141" s="21"/>
      <c r="O141" s="21"/>
      <c r="P141" s="21"/>
      <c r="Q141" s="21"/>
      <c r="R141" s="21"/>
      <c r="S141" s="21"/>
      <c r="T141" s="21"/>
      <c r="U141" s="21"/>
      <c r="V141" s="21"/>
      <c r="W141" s="21"/>
      <c r="X141" s="21"/>
      <c r="Y141" s="21"/>
      <c r="Z141" s="21"/>
    </row>
    <row r="142" ht="15.75" customHeight="1">
      <c r="A142" s="30" t="s">
        <v>181</v>
      </c>
      <c r="B142" s="31">
        <v>2014.0</v>
      </c>
      <c r="C142" s="31" t="s">
        <v>233</v>
      </c>
      <c r="D142" s="33">
        <v>93.228149</v>
      </c>
      <c r="E142" s="33">
        <f>+'Additional Details'!BL47*100</f>
        <v>13.92</v>
      </c>
      <c r="F142" s="33">
        <v>13.919999999999998</v>
      </c>
      <c r="G142" s="35">
        <v>17.19792366027832</v>
      </c>
      <c r="H142" s="33">
        <v>13.96</v>
      </c>
      <c r="I142" s="33">
        <v>4.36</v>
      </c>
      <c r="J142" s="33">
        <f>+'Additional Details'!BL45*100</f>
        <v>55.11</v>
      </c>
      <c r="K142" s="33">
        <v>53.4</v>
      </c>
      <c r="L142" s="21"/>
      <c r="M142" s="21"/>
      <c r="N142" s="21"/>
      <c r="O142" s="21"/>
      <c r="P142" s="21"/>
      <c r="Q142" s="21"/>
      <c r="R142" s="21"/>
      <c r="S142" s="21"/>
      <c r="T142" s="21"/>
      <c r="U142" s="21"/>
      <c r="V142" s="21"/>
      <c r="W142" s="21"/>
      <c r="X142" s="21"/>
      <c r="Y142" s="21"/>
      <c r="Z142" s="21"/>
    </row>
    <row r="143" ht="15.75" customHeight="1">
      <c r="A143" s="30" t="s">
        <v>183</v>
      </c>
      <c r="B143" s="31">
        <v>2007.0</v>
      </c>
      <c r="C143" s="34">
        <v>2011.0</v>
      </c>
      <c r="D143" s="33">
        <v>25.256538</v>
      </c>
      <c r="E143" s="33">
        <v>8.799999999999999</v>
      </c>
      <c r="F143" s="33">
        <v>3.7799999999999994</v>
      </c>
      <c r="G143" s="35">
        <v>5.825500011444092</v>
      </c>
      <c r="H143" s="33">
        <v>3.41</v>
      </c>
      <c r="I143" s="33">
        <v>2.45</v>
      </c>
      <c r="J143" s="33">
        <v>4.0</v>
      </c>
      <c r="K143" s="33">
        <v>27.02147244996189</v>
      </c>
      <c r="L143" s="21"/>
      <c r="M143" s="21"/>
      <c r="N143" s="21"/>
      <c r="O143" s="21"/>
      <c r="P143" s="21"/>
      <c r="Q143" s="21"/>
      <c r="R143" s="21"/>
      <c r="S143" s="21"/>
      <c r="T143" s="21"/>
      <c r="U143" s="21"/>
      <c r="V143" s="21"/>
      <c r="W143" s="21"/>
      <c r="X143" s="21"/>
      <c r="Y143" s="21"/>
      <c r="Z143" s="21"/>
    </row>
    <row r="144" ht="15.75" customHeight="1">
      <c r="A144" s="36" t="s">
        <v>256</v>
      </c>
      <c r="B144" s="31">
        <v>1988.0</v>
      </c>
      <c r="C144" s="31">
        <v>1988.0</v>
      </c>
      <c r="D144" s="33">
        <v>0.0</v>
      </c>
      <c r="E144" s="33">
        <v>3.6999999999999997</v>
      </c>
      <c r="F144" s="33" t="s">
        <v>214</v>
      </c>
      <c r="G144" s="35">
        <v>2.6956143379211426</v>
      </c>
      <c r="H144" s="33">
        <v>0.10349059999999999</v>
      </c>
      <c r="I144" s="33">
        <v>0.06063</v>
      </c>
      <c r="J144" s="33">
        <v>4.1</v>
      </c>
      <c r="K144" s="33">
        <v>10.5</v>
      </c>
      <c r="L144" s="21"/>
      <c r="M144" s="21"/>
      <c r="N144" s="21"/>
      <c r="O144" s="21"/>
      <c r="P144" s="21"/>
      <c r="Q144" s="21"/>
      <c r="R144" s="21"/>
      <c r="S144" s="21"/>
      <c r="T144" s="21"/>
      <c r="U144" s="21"/>
      <c r="V144" s="21"/>
      <c r="W144" s="21"/>
      <c r="X144" s="21"/>
      <c r="Y144" s="21"/>
      <c r="Z144" s="21"/>
    </row>
    <row r="145" ht="15.75" customHeight="1">
      <c r="A145" s="30" t="s">
        <v>184</v>
      </c>
      <c r="B145" s="31">
        <v>2007.0</v>
      </c>
      <c r="C145" s="31">
        <v>2011.0</v>
      </c>
      <c r="D145" s="33">
        <v>30.003834</v>
      </c>
      <c r="E145" s="33">
        <v>4.5</v>
      </c>
      <c r="F145" s="33">
        <v>0.6399999999999996</v>
      </c>
      <c r="G145" s="35">
        <v>2.163773536682129</v>
      </c>
      <c r="H145" s="33">
        <v>4.66</v>
      </c>
      <c r="I145" s="33">
        <v>4.65390465191581</v>
      </c>
      <c r="J145" s="33">
        <v>4.99</v>
      </c>
      <c r="K145" s="33">
        <v>21.851480303845104</v>
      </c>
      <c r="L145" s="21"/>
      <c r="M145" s="21"/>
      <c r="N145" s="21"/>
      <c r="O145" s="21"/>
      <c r="P145" s="21"/>
      <c r="Q145" s="21"/>
      <c r="R145" s="21"/>
      <c r="S145" s="21"/>
      <c r="T145" s="21"/>
      <c r="U145" s="21"/>
      <c r="V145" s="21"/>
      <c r="W145" s="21"/>
      <c r="X145" s="21"/>
      <c r="Y145" s="21"/>
      <c r="Z145" s="21"/>
    </row>
    <row r="146" ht="15.75" customHeight="1">
      <c r="A146" s="30" t="s">
        <v>186</v>
      </c>
      <c r="B146" s="31">
        <v>1981.0</v>
      </c>
      <c r="C146" s="34">
        <v>1985.0</v>
      </c>
      <c r="D146" s="33">
        <v>38.1129576</v>
      </c>
      <c r="E146" s="33">
        <v>31.2</v>
      </c>
      <c r="F146" s="33" t="s">
        <v>214</v>
      </c>
      <c r="G146" s="35">
        <v>101.23296356201172</v>
      </c>
      <c r="H146" s="33">
        <v>24.62915</v>
      </c>
      <c r="I146" s="33">
        <v>18.51316</v>
      </c>
      <c r="J146" s="33" t="s">
        <v>214</v>
      </c>
      <c r="K146" s="33">
        <v>83.3</v>
      </c>
      <c r="L146" s="21"/>
      <c r="M146" s="21"/>
      <c r="N146" s="21"/>
      <c r="O146" s="21"/>
      <c r="P146" s="21"/>
      <c r="Q146" s="21"/>
      <c r="R146" s="21"/>
      <c r="S146" s="21"/>
      <c r="T146" s="21"/>
      <c r="U146" s="21"/>
      <c r="V146" s="21"/>
      <c r="W146" s="21"/>
      <c r="X146" s="21"/>
      <c r="Y146" s="21"/>
      <c r="Z146" s="21"/>
    </row>
    <row r="147" ht="15.75" customHeight="1">
      <c r="A147" s="30" t="s">
        <v>186</v>
      </c>
      <c r="B147" s="31">
        <v>2002.0</v>
      </c>
      <c r="C147" s="31">
        <v>2005.0</v>
      </c>
      <c r="D147" s="33">
        <v>66.07547</v>
      </c>
      <c r="E147" s="33">
        <v>20.0</v>
      </c>
      <c r="F147" s="33">
        <v>10.833333333333334</v>
      </c>
      <c r="G147" s="35">
        <v>35.656978607177734</v>
      </c>
      <c r="H147" s="33">
        <v>12.84922</v>
      </c>
      <c r="I147" s="33">
        <v>7.90269</v>
      </c>
      <c r="J147" s="33">
        <v>36.3</v>
      </c>
      <c r="K147" s="33">
        <v>37.0</v>
      </c>
      <c r="L147" s="21"/>
      <c r="M147" s="21"/>
      <c r="N147" s="21"/>
      <c r="O147" s="21"/>
      <c r="P147" s="21"/>
      <c r="Q147" s="21"/>
      <c r="R147" s="21"/>
      <c r="S147" s="21"/>
      <c r="T147" s="21"/>
      <c r="U147" s="21"/>
      <c r="V147" s="21"/>
      <c r="W147" s="21"/>
      <c r="X147" s="21"/>
      <c r="Y147" s="21"/>
      <c r="Z147" s="21"/>
    </row>
    <row r="148" ht="15.75" customHeight="1">
      <c r="A148" s="30" t="s">
        <v>189</v>
      </c>
      <c r="B148" s="31">
        <v>1994.0</v>
      </c>
      <c r="C148" s="34">
        <v>1998.0</v>
      </c>
      <c r="D148" s="33">
        <v>1.1618500999999999</v>
      </c>
      <c r="E148" s="33">
        <v>15.0</v>
      </c>
      <c r="F148" s="33">
        <v>12.5</v>
      </c>
      <c r="G148" s="35">
        <v>60.82725143432617</v>
      </c>
      <c r="H148" s="33">
        <v>2.909359</v>
      </c>
      <c r="I148" s="33">
        <v>1.6283599999999998</v>
      </c>
      <c r="J148" s="33">
        <v>24.0</v>
      </c>
      <c r="K148" s="33">
        <v>-22.9584</v>
      </c>
      <c r="L148" s="21"/>
      <c r="M148" s="21"/>
      <c r="N148" s="21"/>
      <c r="O148" s="21"/>
      <c r="P148" s="21"/>
      <c r="Q148" s="21"/>
      <c r="R148" s="21"/>
      <c r="S148" s="21"/>
      <c r="T148" s="21"/>
      <c r="U148" s="21"/>
      <c r="V148" s="21"/>
      <c r="W148" s="21"/>
      <c r="X148" s="21"/>
      <c r="Y148" s="21"/>
      <c r="Z148" s="21"/>
    </row>
    <row r="149" ht="15.75" customHeight="1">
      <c r="A149" s="30" t="s">
        <v>190</v>
      </c>
      <c r="B149" s="31">
        <v>1997.0</v>
      </c>
      <c r="C149" s="31">
        <v>1997.0</v>
      </c>
      <c r="D149" s="33">
        <v>0.0</v>
      </c>
      <c r="E149" s="33">
        <v>10.0</v>
      </c>
      <c r="F149" s="33">
        <v>10.0</v>
      </c>
      <c r="G149" s="35">
        <v>54.25935745239258</v>
      </c>
      <c r="H149" s="33">
        <v>64.85239</v>
      </c>
      <c r="I149" s="33">
        <v>24.77626</v>
      </c>
      <c r="J149" s="33">
        <v>35.0</v>
      </c>
      <c r="K149" s="33">
        <v>-52.7</v>
      </c>
      <c r="L149" s="21"/>
      <c r="M149" s="21"/>
      <c r="N149" s="21"/>
      <c r="O149" s="21"/>
      <c r="P149" s="21"/>
      <c r="Q149" s="21"/>
      <c r="R149" s="21"/>
      <c r="S149" s="21"/>
      <c r="T149" s="21"/>
      <c r="U149" s="21"/>
      <c r="V149" s="21"/>
      <c r="W149" s="21"/>
      <c r="X149" s="21"/>
      <c r="Y149" s="21"/>
      <c r="Z149" s="21"/>
    </row>
    <row r="150" ht="15.75" customHeight="1">
      <c r="A150" s="30" t="s">
        <v>191</v>
      </c>
      <c r="B150" s="31">
        <v>1996.0</v>
      </c>
      <c r="C150" s="31">
        <v>1996.0</v>
      </c>
      <c r="D150" s="33">
        <v>16.371336</v>
      </c>
      <c r="E150" s="33" t="s">
        <v>214</v>
      </c>
      <c r="F150" s="33" t="s">
        <v>214</v>
      </c>
      <c r="G150" s="35" t="s">
        <v>214</v>
      </c>
      <c r="H150" s="33">
        <v>0.7547949</v>
      </c>
      <c r="I150" s="33">
        <v>0.68706</v>
      </c>
      <c r="J150" s="33" t="s">
        <v>214</v>
      </c>
      <c r="K150" s="33">
        <v>-56.699999999999996</v>
      </c>
      <c r="L150" s="21"/>
      <c r="M150" s="21"/>
      <c r="N150" s="21"/>
      <c r="O150" s="21"/>
      <c r="P150" s="21"/>
      <c r="Q150" s="21"/>
      <c r="R150" s="21"/>
      <c r="S150" s="21"/>
      <c r="T150" s="21"/>
      <c r="U150" s="21"/>
      <c r="V150" s="21"/>
      <c r="W150" s="21"/>
      <c r="X150" s="21"/>
      <c r="Y150" s="21"/>
      <c r="Z150" s="21"/>
    </row>
    <row r="151" ht="15.75" customHeight="1">
      <c r="A151" s="30" t="s">
        <v>193</v>
      </c>
      <c r="B151" s="31">
        <v>1995.0</v>
      </c>
      <c r="C151" s="31">
        <v>1998.0</v>
      </c>
      <c r="D151" s="33">
        <v>31.102522399999998</v>
      </c>
      <c r="E151" s="33">
        <v>1.4000000000000001</v>
      </c>
      <c r="F151" s="33" t="s">
        <v>214</v>
      </c>
      <c r="G151" s="35">
        <v>14.71453857421875</v>
      </c>
      <c r="H151" s="33">
        <v>27.87016</v>
      </c>
      <c r="I151" s="33">
        <v>24.94676</v>
      </c>
      <c r="J151" s="33" t="s">
        <v>214</v>
      </c>
      <c r="K151" s="33">
        <v>36.199999999999996</v>
      </c>
      <c r="L151" s="21"/>
      <c r="M151" s="21"/>
      <c r="N151" s="21"/>
      <c r="O151" s="21"/>
      <c r="P151" s="21"/>
      <c r="Q151" s="21"/>
      <c r="R151" s="21"/>
      <c r="S151" s="21"/>
      <c r="T151" s="21"/>
      <c r="U151" s="21"/>
      <c r="V151" s="21"/>
      <c r="W151" s="21"/>
      <c r="X151" s="21"/>
      <c r="Y151" s="21"/>
      <c r="Z151" s="21"/>
    </row>
    <row r="152" ht="15.75" customHeight="1">
      <c r="A152" s="41" t="s">
        <v>194</v>
      </c>
      <c r="B152" s="42">
        <v>1995.0</v>
      </c>
      <c r="C152" s="43">
        <v>1999.0</v>
      </c>
      <c r="D152" s="44">
        <v>10.387921</v>
      </c>
      <c r="E152" s="44" t="s">
        <v>214</v>
      </c>
      <c r="F152" s="33" t="s">
        <v>214</v>
      </c>
      <c r="G152" s="33" t="s">
        <v>214</v>
      </c>
      <c r="H152" s="44">
        <v>8.566924</v>
      </c>
      <c r="I152" s="44">
        <v>4.95672</v>
      </c>
      <c r="J152" s="44" t="s">
        <v>214</v>
      </c>
      <c r="K152" s="44">
        <v>20.9</v>
      </c>
      <c r="L152" s="21"/>
      <c r="M152" s="21"/>
      <c r="N152" s="21"/>
      <c r="O152" s="21"/>
      <c r="P152" s="21"/>
      <c r="Q152" s="21"/>
      <c r="R152" s="21"/>
      <c r="S152" s="21"/>
      <c r="T152" s="21"/>
      <c r="U152" s="21"/>
      <c r="V152" s="21"/>
      <c r="W152" s="21"/>
      <c r="X152" s="21"/>
      <c r="Y152" s="21"/>
      <c r="Z152" s="21"/>
    </row>
    <row r="153" ht="15.75" customHeight="1">
      <c r="A153" s="45"/>
      <c r="B153" s="46"/>
      <c r="C153" s="46"/>
      <c r="D153" s="46"/>
      <c r="E153" s="46"/>
      <c r="F153" s="46"/>
      <c r="G153" s="46"/>
      <c r="H153" s="46"/>
      <c r="I153" s="46"/>
      <c r="J153" s="46"/>
      <c r="K153" s="46"/>
      <c r="L153" s="21"/>
      <c r="M153" s="21"/>
      <c r="N153" s="21"/>
      <c r="O153" s="21"/>
      <c r="P153" s="21"/>
      <c r="Q153" s="21"/>
      <c r="R153" s="21"/>
      <c r="S153" s="21"/>
      <c r="T153" s="21"/>
      <c r="U153" s="21"/>
      <c r="V153" s="21"/>
      <c r="W153" s="21"/>
      <c r="X153" s="21"/>
      <c r="Y153" s="21"/>
      <c r="Z153" s="21"/>
    </row>
    <row r="154" ht="15.75" customHeight="1">
      <c r="A154" s="47"/>
      <c r="L154" s="21"/>
      <c r="M154" s="21"/>
      <c r="N154" s="21"/>
      <c r="O154" s="21"/>
      <c r="P154" s="21"/>
      <c r="Q154" s="21"/>
      <c r="R154" s="21"/>
      <c r="S154" s="21"/>
      <c r="T154" s="21"/>
      <c r="U154" s="21"/>
      <c r="V154" s="21"/>
      <c r="W154" s="21"/>
      <c r="X154" s="21"/>
      <c r="Y154" s="21"/>
      <c r="Z154" s="21"/>
    </row>
    <row r="155" ht="15.75" customHeight="1">
      <c r="A155" s="47"/>
      <c r="L155" s="21"/>
      <c r="M155" s="21"/>
      <c r="N155" s="21"/>
      <c r="O155" s="21"/>
      <c r="P155" s="21"/>
      <c r="Q155" s="21"/>
      <c r="R155" s="21"/>
      <c r="S155" s="21"/>
      <c r="T155" s="21"/>
      <c r="U155" s="21"/>
      <c r="V155" s="21"/>
      <c r="W155" s="21"/>
      <c r="X155" s="21"/>
      <c r="Y155" s="21"/>
      <c r="Z155" s="21"/>
    </row>
    <row r="156" ht="15.75" customHeight="1">
      <c r="A156" s="47"/>
      <c r="L156" s="21"/>
      <c r="M156" s="21"/>
      <c r="N156" s="21"/>
      <c r="O156" s="21"/>
      <c r="P156" s="21"/>
      <c r="Q156" s="21"/>
      <c r="R156" s="21"/>
      <c r="S156" s="21"/>
      <c r="T156" s="21"/>
      <c r="U156" s="21"/>
      <c r="V156" s="21"/>
      <c r="W156" s="21"/>
      <c r="X156" s="21"/>
      <c r="Y156" s="21"/>
      <c r="Z156" s="21"/>
    </row>
    <row r="157" ht="15.75" customHeight="1">
      <c r="A157" s="47"/>
      <c r="L157" s="21"/>
      <c r="M157" s="21"/>
      <c r="N157" s="21"/>
      <c r="O157" s="21"/>
      <c r="P157" s="21"/>
      <c r="Q157" s="21"/>
      <c r="R157" s="21"/>
      <c r="S157" s="21"/>
      <c r="T157" s="21"/>
      <c r="U157" s="21"/>
      <c r="V157" s="21"/>
      <c r="W157" s="21"/>
      <c r="X157" s="21"/>
      <c r="Y157" s="21"/>
      <c r="Z157" s="21"/>
    </row>
    <row r="158" ht="15.75" customHeight="1">
      <c r="A158" s="47"/>
      <c r="L158" s="21"/>
      <c r="M158" s="21"/>
      <c r="N158" s="21"/>
      <c r="O158" s="21"/>
      <c r="P158" s="21"/>
      <c r="Q158" s="21"/>
      <c r="R158" s="21"/>
      <c r="S158" s="21"/>
      <c r="T158" s="21"/>
      <c r="U158" s="21"/>
      <c r="V158" s="21"/>
      <c r="W158" s="21"/>
      <c r="X158" s="21"/>
      <c r="Y158" s="21"/>
      <c r="Z158" s="21"/>
    </row>
    <row r="159" ht="15.75" customHeight="1">
      <c r="A159" s="47"/>
      <c r="L159" s="21"/>
      <c r="M159" s="21"/>
      <c r="N159" s="21"/>
      <c r="O159" s="21"/>
      <c r="P159" s="21"/>
      <c r="Q159" s="21"/>
      <c r="R159" s="21"/>
      <c r="S159" s="21"/>
      <c r="T159" s="21"/>
      <c r="U159" s="21"/>
      <c r="V159" s="21"/>
      <c r="W159" s="21"/>
      <c r="X159" s="21"/>
      <c r="Y159" s="21"/>
      <c r="Z159" s="21"/>
    </row>
    <row r="160" ht="15.75" customHeight="1">
      <c r="A160" s="47"/>
      <c r="L160" s="21"/>
      <c r="M160" s="21"/>
      <c r="N160" s="21"/>
      <c r="O160" s="21"/>
      <c r="P160" s="21"/>
      <c r="Q160" s="21"/>
      <c r="R160" s="21"/>
      <c r="S160" s="21"/>
      <c r="T160" s="21"/>
      <c r="U160" s="21"/>
      <c r="V160" s="21"/>
      <c r="W160" s="21"/>
      <c r="X160" s="21"/>
      <c r="Y160" s="21"/>
      <c r="Z160" s="21"/>
    </row>
    <row r="161" ht="15.75" customHeight="1">
      <c r="A161" s="47"/>
      <c r="L161" s="21"/>
      <c r="M161" s="21"/>
      <c r="N161" s="21"/>
      <c r="O161" s="21"/>
      <c r="P161" s="21"/>
      <c r="Q161" s="21"/>
      <c r="R161" s="21"/>
      <c r="S161" s="21"/>
      <c r="T161" s="21"/>
      <c r="U161" s="21"/>
      <c r="V161" s="21"/>
      <c r="W161" s="21"/>
      <c r="X161" s="21"/>
      <c r="Y161" s="21"/>
      <c r="Z161" s="21"/>
    </row>
    <row r="162" ht="15.75" customHeight="1">
      <c r="A162" s="47"/>
      <c r="L162" s="21"/>
      <c r="M162" s="21"/>
      <c r="N162" s="21"/>
      <c r="O162" s="21"/>
      <c r="P162" s="21"/>
      <c r="Q162" s="21"/>
      <c r="R162" s="21"/>
      <c r="S162" s="21"/>
      <c r="T162" s="21"/>
      <c r="U162" s="21"/>
      <c r="V162" s="21"/>
      <c r="W162" s="21"/>
      <c r="X162" s="21"/>
      <c r="Y162" s="21"/>
      <c r="Z162" s="21"/>
    </row>
    <row r="163" ht="15.75" customHeight="1">
      <c r="A163" s="47"/>
      <c r="L163" s="21"/>
      <c r="M163" s="21"/>
      <c r="N163" s="21"/>
      <c r="O163" s="21"/>
      <c r="P163" s="21"/>
      <c r="Q163" s="21"/>
      <c r="R163" s="21"/>
      <c r="S163" s="21"/>
      <c r="T163" s="21"/>
      <c r="U163" s="21"/>
      <c r="V163" s="21"/>
      <c r="W163" s="21"/>
      <c r="X163" s="21"/>
      <c r="Y163" s="21"/>
      <c r="Z163" s="21"/>
    </row>
    <row r="164" ht="15.75" customHeight="1">
      <c r="A164" s="48"/>
      <c r="B164" s="49"/>
      <c r="C164" s="49"/>
      <c r="D164" s="49"/>
      <c r="E164" s="49"/>
      <c r="F164" s="49"/>
      <c r="G164" s="49"/>
      <c r="H164" s="49"/>
      <c r="I164" s="49"/>
      <c r="J164" s="49"/>
      <c r="K164" s="49"/>
      <c r="L164" s="21"/>
      <c r="M164" s="21"/>
      <c r="N164" s="21"/>
      <c r="O164" s="21"/>
      <c r="P164" s="21"/>
      <c r="Q164" s="21"/>
      <c r="R164" s="21"/>
      <c r="S164" s="21"/>
      <c r="T164" s="21"/>
      <c r="U164" s="21"/>
      <c r="V164" s="21"/>
      <c r="W164" s="21"/>
      <c r="X164" s="21"/>
      <c r="Y164" s="21"/>
      <c r="Z164" s="21"/>
    </row>
    <row r="165" ht="15.75" customHeight="1">
      <c r="A165" s="48"/>
      <c r="B165" s="49"/>
      <c r="C165" s="49"/>
      <c r="D165" s="49"/>
      <c r="E165" s="49"/>
      <c r="F165" s="50"/>
      <c r="G165" s="49"/>
      <c r="H165" s="49"/>
      <c r="I165" s="49"/>
      <c r="J165" s="49"/>
      <c r="K165" s="49"/>
      <c r="L165" s="21"/>
      <c r="M165" s="21"/>
      <c r="N165" s="21"/>
      <c r="O165" s="21"/>
      <c r="P165" s="21"/>
      <c r="Q165" s="21"/>
      <c r="R165" s="21"/>
      <c r="S165" s="21"/>
      <c r="T165" s="21"/>
      <c r="U165" s="21"/>
      <c r="V165" s="21"/>
      <c r="W165" s="21"/>
      <c r="X165" s="21"/>
      <c r="Y165" s="21"/>
      <c r="Z165" s="21"/>
    </row>
    <row r="166" ht="11.25" customHeight="1">
      <c r="A166" s="48"/>
      <c r="B166" s="49"/>
      <c r="C166" s="49"/>
      <c r="D166" s="49"/>
      <c r="E166" s="49"/>
      <c r="F166" s="49"/>
      <c r="G166" s="49"/>
      <c r="H166" s="49"/>
      <c r="I166" s="49"/>
      <c r="J166" s="49"/>
      <c r="K166" s="49"/>
      <c r="L166" s="21"/>
      <c r="M166" s="21"/>
      <c r="N166" s="21"/>
      <c r="O166" s="21"/>
      <c r="P166" s="21"/>
      <c r="Q166" s="21"/>
      <c r="R166" s="21"/>
      <c r="S166" s="21"/>
      <c r="T166" s="21"/>
      <c r="U166" s="21"/>
      <c r="V166" s="21"/>
      <c r="W166" s="21"/>
      <c r="X166" s="21"/>
      <c r="Y166" s="21"/>
      <c r="Z166" s="21"/>
    </row>
    <row r="167" ht="15.75" customHeight="1">
      <c r="A167" s="51"/>
      <c r="B167" s="52"/>
      <c r="C167" s="52"/>
      <c r="D167" s="52"/>
      <c r="E167" s="53"/>
      <c r="F167" s="53"/>
      <c r="G167" s="54"/>
      <c r="H167" s="52"/>
      <c r="I167" s="52"/>
      <c r="J167" s="52"/>
      <c r="K167" s="52"/>
      <c r="L167" s="21"/>
      <c r="M167" s="21"/>
      <c r="N167" s="21"/>
      <c r="O167" s="21"/>
      <c r="P167" s="21"/>
      <c r="Q167" s="21"/>
      <c r="R167" s="21"/>
      <c r="S167" s="21"/>
      <c r="T167" s="21"/>
      <c r="U167" s="21"/>
      <c r="V167" s="21"/>
      <c r="W167" s="21"/>
      <c r="X167" s="21"/>
      <c r="Y167" s="21"/>
      <c r="Z167" s="21"/>
    </row>
    <row r="168" ht="15.75" customHeight="1">
      <c r="A168" s="51"/>
      <c r="B168" s="52"/>
      <c r="C168" s="52"/>
      <c r="D168" s="52"/>
      <c r="E168" s="53"/>
      <c r="F168" s="53"/>
      <c r="G168" s="54"/>
      <c r="H168" s="52"/>
      <c r="I168" s="52"/>
      <c r="J168" s="52"/>
      <c r="K168" s="52"/>
      <c r="L168" s="21"/>
      <c r="M168" s="21"/>
      <c r="N168" s="21"/>
      <c r="O168" s="21"/>
      <c r="P168" s="21"/>
      <c r="Q168" s="21"/>
      <c r="R168" s="21"/>
      <c r="S168" s="21"/>
      <c r="T168" s="21"/>
      <c r="U168" s="21"/>
      <c r="V168" s="21"/>
      <c r="W168" s="21"/>
      <c r="X168" s="21"/>
      <c r="Y168" s="21"/>
      <c r="Z168" s="21"/>
    </row>
    <row r="169" ht="15.75" customHeight="1">
      <c r="A169" s="51"/>
      <c r="B169" s="52"/>
      <c r="C169" s="52"/>
      <c r="D169" s="52"/>
      <c r="E169" s="53"/>
      <c r="F169" s="53"/>
      <c r="G169" s="54"/>
      <c r="H169" s="55"/>
      <c r="I169" s="55"/>
      <c r="J169" s="52"/>
      <c r="K169" s="52"/>
      <c r="L169" s="21"/>
      <c r="M169" s="21"/>
      <c r="N169" s="21"/>
      <c r="O169" s="21"/>
      <c r="P169" s="21"/>
      <c r="Q169" s="21"/>
      <c r="R169" s="21"/>
      <c r="S169" s="21"/>
      <c r="T169" s="21"/>
      <c r="U169" s="21"/>
      <c r="V169" s="21"/>
      <c r="W169" s="21"/>
      <c r="X169" s="21"/>
      <c r="Y169" s="21"/>
      <c r="Z169" s="21"/>
    </row>
    <row r="170" ht="15.75" customHeight="1">
      <c r="A170" s="51"/>
      <c r="B170" s="52"/>
      <c r="C170" s="52"/>
      <c r="D170" s="52"/>
      <c r="E170" s="53"/>
      <c r="F170" s="53"/>
      <c r="G170" s="54"/>
      <c r="H170" s="52"/>
      <c r="I170" s="52"/>
      <c r="J170" s="52"/>
      <c r="K170" s="52"/>
      <c r="L170" s="21"/>
      <c r="M170" s="21"/>
      <c r="N170" s="21"/>
      <c r="O170" s="21"/>
      <c r="P170" s="21"/>
      <c r="Q170" s="21"/>
      <c r="R170" s="21"/>
      <c r="S170" s="21"/>
      <c r="T170" s="21"/>
      <c r="U170" s="21"/>
      <c r="V170" s="21"/>
      <c r="W170" s="21"/>
      <c r="X170" s="21"/>
      <c r="Y170" s="21"/>
      <c r="Z170" s="21"/>
    </row>
    <row r="171" ht="15.75" customHeight="1">
      <c r="A171" s="21"/>
      <c r="B171" s="21"/>
      <c r="C171" s="21"/>
      <c r="D171" s="21"/>
      <c r="E171" s="53"/>
      <c r="F171" s="53"/>
      <c r="G171" s="56"/>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53"/>
      <c r="F172" s="53"/>
      <c r="G172" s="56"/>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53"/>
      <c r="F173" s="53"/>
      <c r="G173" s="56"/>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53"/>
      <c r="F174" s="53"/>
      <c r="G174" s="56"/>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53"/>
      <c r="F175" s="53"/>
      <c r="G175" s="56"/>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53"/>
      <c r="F176" s="53"/>
      <c r="G176" s="56"/>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53"/>
      <c r="F177" s="53"/>
      <c r="G177" s="56"/>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53"/>
      <c r="F178" s="53"/>
      <c r="G178" s="56"/>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53"/>
      <c r="F179" s="53"/>
      <c r="G179" s="56"/>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53"/>
      <c r="F180" s="53"/>
      <c r="G180" s="56"/>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53"/>
      <c r="F181" s="53"/>
      <c r="G181" s="56"/>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53"/>
      <c r="F182" s="53"/>
      <c r="G182" s="56"/>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53"/>
      <c r="F183" s="53"/>
      <c r="G183" s="56"/>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53"/>
      <c r="F184" s="53"/>
      <c r="G184" s="56"/>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53"/>
      <c r="F185" s="53"/>
      <c r="G185" s="56"/>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53"/>
      <c r="F186" s="53"/>
      <c r="G186" s="56"/>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53"/>
      <c r="F187" s="53"/>
      <c r="G187" s="56"/>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53"/>
      <c r="F188" s="53"/>
      <c r="G188" s="56"/>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53"/>
      <c r="F189" s="53"/>
      <c r="G189" s="56"/>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53"/>
      <c r="F190" s="53"/>
      <c r="G190" s="56"/>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53"/>
      <c r="F191" s="53"/>
      <c r="G191" s="56"/>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53"/>
      <c r="F192" s="53"/>
      <c r="G192" s="56"/>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53"/>
      <c r="F193" s="53"/>
      <c r="G193" s="56"/>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53"/>
      <c r="F194" s="53"/>
      <c r="G194" s="56"/>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53"/>
      <c r="F195" s="53"/>
      <c r="G195" s="56"/>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53"/>
      <c r="F196" s="53"/>
      <c r="G196" s="56"/>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53"/>
      <c r="F197" s="53"/>
      <c r="G197" s="56"/>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53"/>
      <c r="F198" s="53"/>
      <c r="G198" s="56"/>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53"/>
      <c r="F199" s="53"/>
      <c r="G199" s="56"/>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53"/>
      <c r="F200" s="53"/>
      <c r="G200" s="56"/>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53"/>
      <c r="F201" s="53"/>
      <c r="G201" s="56"/>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53"/>
      <c r="F202" s="53"/>
      <c r="G202" s="56"/>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53"/>
      <c r="F203" s="53"/>
      <c r="G203" s="56"/>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53"/>
      <c r="F204" s="53"/>
      <c r="G204" s="56"/>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53"/>
      <c r="F205" s="53"/>
      <c r="G205" s="56"/>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53"/>
      <c r="F206" s="53"/>
      <c r="G206" s="56"/>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53"/>
      <c r="F207" s="53"/>
      <c r="G207" s="56"/>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53"/>
      <c r="F208" s="53"/>
      <c r="G208" s="56"/>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53"/>
      <c r="F209" s="53"/>
      <c r="G209" s="56"/>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53"/>
      <c r="F210" s="53"/>
      <c r="G210" s="56"/>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53"/>
      <c r="F211" s="53"/>
      <c r="G211" s="56"/>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53"/>
      <c r="F212" s="53"/>
      <c r="G212" s="56"/>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53"/>
      <c r="F213" s="53"/>
      <c r="G213" s="56"/>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53"/>
      <c r="F214" s="53"/>
      <c r="G214" s="56"/>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53"/>
      <c r="F215" s="53"/>
      <c r="G215" s="56"/>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53"/>
      <c r="F216" s="53"/>
      <c r="G216" s="56"/>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53"/>
      <c r="F217" s="53"/>
      <c r="G217" s="56"/>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53"/>
      <c r="F218" s="53"/>
      <c r="G218" s="56"/>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53"/>
      <c r="F219" s="53"/>
      <c r="G219" s="56"/>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53"/>
      <c r="F220" s="53"/>
      <c r="G220" s="56"/>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53"/>
      <c r="F221" s="53"/>
      <c r="G221" s="56"/>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53"/>
      <c r="F222" s="53"/>
      <c r="G222" s="56"/>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53"/>
      <c r="F223" s="53"/>
      <c r="G223" s="56"/>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53"/>
      <c r="F224" s="53"/>
      <c r="G224" s="56"/>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53"/>
      <c r="F225" s="53"/>
      <c r="G225" s="56"/>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53"/>
      <c r="F226" s="53"/>
      <c r="G226" s="56"/>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53"/>
      <c r="F227" s="53"/>
      <c r="G227" s="56"/>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53"/>
      <c r="F228" s="53"/>
      <c r="G228" s="56"/>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53"/>
      <c r="F229" s="53"/>
      <c r="G229" s="56"/>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53"/>
      <c r="F230" s="53"/>
      <c r="G230" s="56"/>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53"/>
      <c r="F231" s="53"/>
      <c r="G231" s="56"/>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53"/>
      <c r="F232" s="53"/>
      <c r="G232" s="56"/>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53"/>
      <c r="F233" s="53"/>
      <c r="G233" s="56"/>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53"/>
      <c r="F234" s="53"/>
      <c r="G234" s="56"/>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53"/>
      <c r="F235" s="53"/>
      <c r="G235" s="56"/>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53"/>
      <c r="F236" s="53"/>
      <c r="G236" s="56"/>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53"/>
      <c r="F237" s="53"/>
      <c r="G237" s="56"/>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53"/>
      <c r="F238" s="53"/>
      <c r="G238" s="56"/>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53"/>
      <c r="F239" s="53"/>
      <c r="G239" s="56"/>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53"/>
      <c r="F240" s="53"/>
      <c r="G240" s="56"/>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53"/>
      <c r="F241" s="53"/>
      <c r="G241" s="56"/>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53"/>
      <c r="F242" s="53"/>
      <c r="G242" s="56"/>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53"/>
      <c r="F243" s="53"/>
      <c r="G243" s="56"/>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53"/>
      <c r="F244" s="53"/>
      <c r="G244" s="56"/>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53"/>
      <c r="F245" s="53"/>
      <c r="G245" s="56"/>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53"/>
      <c r="F246" s="53"/>
      <c r="G246" s="56"/>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53"/>
      <c r="F247" s="53"/>
      <c r="G247" s="56"/>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53"/>
      <c r="F248" s="53"/>
      <c r="G248" s="56"/>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53"/>
      <c r="F249" s="53"/>
      <c r="G249" s="56"/>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53"/>
      <c r="F250" s="53"/>
      <c r="G250" s="56"/>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53"/>
      <c r="F251" s="53"/>
      <c r="G251" s="56"/>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53"/>
      <c r="F252" s="53"/>
      <c r="G252" s="56"/>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53"/>
      <c r="F253" s="53"/>
      <c r="G253" s="56"/>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53"/>
      <c r="F254" s="53"/>
      <c r="G254" s="56"/>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53"/>
      <c r="F255" s="53"/>
      <c r="G255" s="56"/>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53"/>
      <c r="F256" s="53"/>
      <c r="G256" s="56"/>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53"/>
      <c r="F257" s="53"/>
      <c r="G257" s="56"/>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53"/>
      <c r="F258" s="53"/>
      <c r="G258" s="56"/>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53"/>
      <c r="F259" s="53"/>
      <c r="G259" s="56"/>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53"/>
      <c r="F260" s="53"/>
      <c r="G260" s="56"/>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53"/>
      <c r="F261" s="53"/>
      <c r="G261" s="56"/>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53"/>
      <c r="F262" s="53"/>
      <c r="G262" s="56"/>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53"/>
      <c r="F263" s="53"/>
      <c r="G263" s="56"/>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53"/>
      <c r="F264" s="53"/>
      <c r="G264" s="56"/>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53"/>
      <c r="F265" s="53"/>
      <c r="G265" s="56"/>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53"/>
      <c r="F266" s="53"/>
      <c r="G266" s="56"/>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53"/>
      <c r="F267" s="53"/>
      <c r="G267" s="56"/>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53"/>
      <c r="F268" s="53"/>
      <c r="G268" s="56"/>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53"/>
      <c r="F269" s="53"/>
      <c r="G269" s="56"/>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53"/>
      <c r="F270" s="53"/>
      <c r="G270" s="56"/>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53"/>
      <c r="F271" s="53"/>
      <c r="G271" s="56"/>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53"/>
      <c r="F272" s="53"/>
      <c r="G272" s="56"/>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53"/>
      <c r="F273" s="53"/>
      <c r="G273" s="56"/>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53"/>
      <c r="F274" s="53"/>
      <c r="G274" s="56"/>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53"/>
      <c r="F275" s="53"/>
      <c r="G275" s="56"/>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53"/>
      <c r="F276" s="53"/>
      <c r="G276" s="56"/>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53"/>
      <c r="F277" s="53"/>
      <c r="G277" s="56"/>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53"/>
      <c r="F278" s="53"/>
      <c r="G278" s="56"/>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53"/>
      <c r="F279" s="53"/>
      <c r="G279" s="56"/>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53"/>
      <c r="F280" s="53"/>
      <c r="G280" s="56"/>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53"/>
      <c r="F281" s="53"/>
      <c r="G281" s="56"/>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53"/>
      <c r="F282" s="53"/>
      <c r="G282" s="56"/>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53"/>
      <c r="F283" s="53"/>
      <c r="G283" s="56"/>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53"/>
      <c r="F284" s="53"/>
      <c r="G284" s="56"/>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53"/>
      <c r="F285" s="53"/>
      <c r="G285" s="56"/>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53"/>
      <c r="F286" s="53"/>
      <c r="G286" s="56"/>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53"/>
      <c r="F287" s="53"/>
      <c r="G287" s="56"/>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53"/>
      <c r="F288" s="53"/>
      <c r="G288" s="56"/>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53"/>
      <c r="F289" s="53"/>
      <c r="G289" s="56"/>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53"/>
      <c r="F290" s="53"/>
      <c r="G290" s="56"/>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53"/>
      <c r="F291" s="53"/>
      <c r="G291" s="56"/>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53"/>
      <c r="F292" s="53"/>
      <c r="G292" s="56"/>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53"/>
      <c r="F293" s="53"/>
      <c r="G293" s="56"/>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53"/>
      <c r="F294" s="53"/>
      <c r="G294" s="56"/>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53"/>
      <c r="F295" s="53"/>
      <c r="G295" s="56"/>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53"/>
      <c r="F296" s="53"/>
      <c r="G296" s="56"/>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53"/>
      <c r="F297" s="53"/>
      <c r="G297" s="56"/>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53"/>
      <c r="F298" s="53"/>
      <c r="G298" s="56"/>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53"/>
      <c r="F299" s="53"/>
      <c r="G299" s="56"/>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53"/>
      <c r="F300" s="53"/>
      <c r="G300" s="56"/>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53"/>
      <c r="F301" s="53"/>
      <c r="G301" s="56"/>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53"/>
      <c r="F302" s="53"/>
      <c r="G302" s="56"/>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53"/>
      <c r="F303" s="53"/>
      <c r="G303" s="56"/>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53"/>
      <c r="F304" s="53"/>
      <c r="G304" s="56"/>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53"/>
      <c r="F305" s="53"/>
      <c r="G305" s="56"/>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53"/>
      <c r="F306" s="53"/>
      <c r="G306" s="56"/>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53"/>
      <c r="F307" s="53"/>
      <c r="G307" s="56"/>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53"/>
      <c r="F308" s="53"/>
      <c r="G308" s="56"/>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53"/>
      <c r="F309" s="53"/>
      <c r="G309" s="56"/>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53"/>
      <c r="F310" s="53"/>
      <c r="G310" s="56"/>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53"/>
      <c r="F311" s="53"/>
      <c r="G311" s="56"/>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53"/>
      <c r="F312" s="53"/>
      <c r="G312" s="56"/>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53"/>
      <c r="F313" s="53"/>
      <c r="G313" s="56"/>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53"/>
      <c r="F314" s="53"/>
      <c r="G314" s="56"/>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53"/>
      <c r="F315" s="53"/>
      <c r="G315" s="56"/>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53"/>
      <c r="F316" s="53"/>
      <c r="G316" s="56"/>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53"/>
      <c r="F317" s="53"/>
      <c r="G317" s="56"/>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53"/>
      <c r="F318" s="53"/>
      <c r="G318" s="56"/>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53"/>
      <c r="F319" s="53"/>
      <c r="G319" s="56"/>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53"/>
      <c r="F320" s="53"/>
      <c r="G320" s="56"/>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53"/>
      <c r="F321" s="53"/>
      <c r="G321" s="56"/>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53"/>
      <c r="F322" s="53"/>
      <c r="G322" s="56"/>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53"/>
      <c r="F323" s="53"/>
      <c r="G323" s="56"/>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53"/>
      <c r="F324" s="53"/>
      <c r="G324" s="56"/>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53"/>
      <c r="F325" s="53"/>
      <c r="G325" s="56"/>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53"/>
      <c r="F326" s="53"/>
      <c r="G326" s="56"/>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53"/>
      <c r="F327" s="53"/>
      <c r="G327" s="56"/>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53"/>
      <c r="F328" s="53"/>
      <c r="G328" s="56"/>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53"/>
      <c r="F329" s="53"/>
      <c r="G329" s="56"/>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53"/>
      <c r="F330" s="53"/>
      <c r="G330" s="56"/>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53"/>
      <c r="F331" s="53"/>
      <c r="G331" s="56"/>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53"/>
      <c r="F332" s="53"/>
      <c r="G332" s="56"/>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53"/>
      <c r="F333" s="53"/>
      <c r="G333" s="56"/>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53"/>
      <c r="F334" s="53"/>
      <c r="G334" s="56"/>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53"/>
      <c r="F335" s="53"/>
      <c r="G335" s="56"/>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53"/>
      <c r="F336" s="53"/>
      <c r="G336" s="56"/>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53"/>
      <c r="F337" s="53"/>
      <c r="G337" s="56"/>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53"/>
      <c r="F338" s="53"/>
      <c r="G338" s="56"/>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53"/>
      <c r="F339" s="53"/>
      <c r="G339" s="56"/>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53"/>
      <c r="F340" s="53"/>
      <c r="G340" s="56"/>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53"/>
      <c r="F341" s="53"/>
      <c r="G341" s="56"/>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53"/>
      <c r="F342" s="53"/>
      <c r="G342" s="56"/>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53"/>
      <c r="F343" s="53"/>
      <c r="G343" s="56"/>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53"/>
      <c r="F344" s="53"/>
      <c r="G344" s="56"/>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53"/>
      <c r="F345" s="53"/>
      <c r="G345" s="56"/>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53"/>
      <c r="F346" s="53"/>
      <c r="G346" s="56"/>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53"/>
      <c r="F347" s="53"/>
      <c r="G347" s="56"/>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53"/>
      <c r="F348" s="53"/>
      <c r="G348" s="56"/>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53"/>
      <c r="F349" s="53"/>
      <c r="G349" s="56"/>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53"/>
      <c r="F350" s="53"/>
      <c r="G350" s="56"/>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53"/>
      <c r="F351" s="53"/>
      <c r="G351" s="56"/>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53"/>
      <c r="F352" s="53"/>
      <c r="G352" s="56"/>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53"/>
      <c r="F353" s="53"/>
      <c r="G353" s="56"/>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53"/>
      <c r="F354" s="53"/>
      <c r="G354" s="56"/>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53"/>
      <c r="F355" s="53"/>
      <c r="G355" s="56"/>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53"/>
      <c r="F356" s="53"/>
      <c r="G356" s="56"/>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53"/>
      <c r="F357" s="53"/>
      <c r="G357" s="56"/>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53"/>
      <c r="F358" s="53"/>
      <c r="G358" s="56"/>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53"/>
      <c r="F359" s="53"/>
      <c r="G359" s="56"/>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53"/>
      <c r="F360" s="53"/>
      <c r="G360" s="56"/>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53"/>
      <c r="F361" s="53"/>
      <c r="G361" s="56"/>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53"/>
      <c r="F362" s="53"/>
      <c r="G362" s="56"/>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53"/>
      <c r="F363" s="53"/>
      <c r="G363" s="56"/>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53"/>
      <c r="F364" s="53"/>
      <c r="G364" s="56"/>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53"/>
      <c r="F365" s="53"/>
      <c r="G365" s="56"/>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53"/>
      <c r="F366" s="53"/>
      <c r="G366" s="56"/>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53"/>
      <c r="F367" s="53"/>
      <c r="G367" s="56"/>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53"/>
      <c r="F368" s="53"/>
      <c r="G368" s="56"/>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53"/>
      <c r="F369" s="53"/>
      <c r="G369" s="56"/>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53"/>
      <c r="F370" s="53"/>
      <c r="G370" s="56"/>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53"/>
      <c r="F371" s="53"/>
      <c r="G371" s="56"/>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53"/>
      <c r="F372" s="53"/>
      <c r="G372" s="56"/>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53"/>
      <c r="F373" s="53"/>
      <c r="G373" s="56"/>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53"/>
      <c r="F374" s="53"/>
      <c r="G374" s="56"/>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53"/>
      <c r="F375" s="53"/>
      <c r="G375" s="56"/>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53"/>
      <c r="F376" s="53"/>
      <c r="G376" s="56"/>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53"/>
      <c r="F377" s="53"/>
      <c r="G377" s="56"/>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53"/>
      <c r="F378" s="53"/>
      <c r="G378" s="56"/>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53"/>
      <c r="F379" s="53"/>
      <c r="G379" s="56"/>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53"/>
      <c r="F380" s="53"/>
      <c r="G380" s="56"/>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53"/>
      <c r="F381" s="53"/>
      <c r="G381" s="56"/>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53"/>
      <c r="F382" s="53"/>
      <c r="G382" s="56"/>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53"/>
      <c r="F383" s="53"/>
      <c r="G383" s="56"/>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53"/>
      <c r="F384" s="53"/>
      <c r="G384" s="56"/>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53"/>
      <c r="F385" s="53"/>
      <c r="G385" s="56"/>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53"/>
      <c r="F386" s="53"/>
      <c r="G386" s="56"/>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53"/>
      <c r="F387" s="53"/>
      <c r="G387" s="56"/>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53"/>
      <c r="F388" s="53"/>
      <c r="G388" s="56"/>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53"/>
      <c r="F389" s="53"/>
      <c r="G389" s="56"/>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53"/>
      <c r="F390" s="53"/>
      <c r="G390" s="56"/>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53"/>
      <c r="F391" s="53"/>
      <c r="G391" s="56"/>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53"/>
      <c r="F392" s="53"/>
      <c r="G392" s="56"/>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53"/>
      <c r="F393" s="53"/>
      <c r="G393" s="56"/>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53"/>
      <c r="F394" s="53"/>
      <c r="G394" s="56"/>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53"/>
      <c r="F395" s="53"/>
      <c r="G395" s="56"/>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53"/>
      <c r="F396" s="53"/>
      <c r="G396" s="56"/>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53"/>
      <c r="F397" s="53"/>
      <c r="G397" s="56"/>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53"/>
      <c r="F398" s="53"/>
      <c r="G398" s="56"/>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53"/>
      <c r="F399" s="53"/>
      <c r="G399" s="56"/>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53"/>
      <c r="F400" s="53"/>
      <c r="G400" s="56"/>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53"/>
      <c r="F401" s="53"/>
      <c r="G401" s="56"/>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53"/>
      <c r="F402" s="53"/>
      <c r="G402" s="56"/>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53"/>
      <c r="F403" s="53"/>
      <c r="G403" s="56"/>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53"/>
      <c r="F404" s="53"/>
      <c r="G404" s="56"/>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53"/>
      <c r="F405" s="53"/>
      <c r="G405" s="56"/>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53"/>
      <c r="F406" s="53"/>
      <c r="G406" s="56"/>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53"/>
      <c r="F407" s="53"/>
      <c r="G407" s="56"/>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53"/>
      <c r="F408" s="53"/>
      <c r="G408" s="56"/>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53"/>
      <c r="F409" s="53"/>
      <c r="G409" s="56"/>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53"/>
      <c r="F410" s="53"/>
      <c r="G410" s="56"/>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53"/>
      <c r="F411" s="53"/>
      <c r="G411" s="56"/>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53"/>
      <c r="F412" s="53"/>
      <c r="G412" s="56"/>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53"/>
      <c r="F413" s="53"/>
      <c r="G413" s="56"/>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53"/>
      <c r="F414" s="53"/>
      <c r="G414" s="56"/>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53"/>
      <c r="F415" s="53"/>
      <c r="G415" s="56"/>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53"/>
      <c r="F416" s="53"/>
      <c r="G416" s="56"/>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53"/>
      <c r="F417" s="53"/>
      <c r="G417" s="56"/>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53"/>
      <c r="F418" s="53"/>
      <c r="G418" s="56"/>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53"/>
      <c r="F419" s="53"/>
      <c r="G419" s="56"/>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53"/>
      <c r="F420" s="53"/>
      <c r="G420" s="56"/>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53"/>
      <c r="F421" s="53"/>
      <c r="G421" s="56"/>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53"/>
      <c r="F422" s="53"/>
      <c r="G422" s="56"/>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53"/>
      <c r="F423" s="53"/>
      <c r="G423" s="56"/>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53"/>
      <c r="F424" s="53"/>
      <c r="G424" s="56"/>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53"/>
      <c r="F425" s="53"/>
      <c r="G425" s="56"/>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53"/>
      <c r="F426" s="53"/>
      <c r="G426" s="56"/>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53"/>
      <c r="F427" s="53"/>
      <c r="G427" s="56"/>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53"/>
      <c r="F428" s="53"/>
      <c r="G428" s="56"/>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53"/>
      <c r="F429" s="53"/>
      <c r="G429" s="56"/>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53"/>
      <c r="F430" s="53"/>
      <c r="G430" s="56"/>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53"/>
      <c r="F431" s="53"/>
      <c r="G431" s="56"/>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53"/>
      <c r="F432" s="53"/>
      <c r="G432" s="56"/>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53"/>
      <c r="F433" s="53"/>
      <c r="G433" s="56"/>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53"/>
      <c r="F434" s="53"/>
      <c r="G434" s="56"/>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53"/>
      <c r="F435" s="53"/>
      <c r="G435" s="56"/>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53"/>
      <c r="F436" s="53"/>
      <c r="G436" s="56"/>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53"/>
      <c r="F437" s="53"/>
      <c r="G437" s="56"/>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53"/>
      <c r="F438" s="53"/>
      <c r="G438" s="56"/>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53"/>
      <c r="F439" s="53"/>
      <c r="G439" s="56"/>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53"/>
      <c r="F440" s="53"/>
      <c r="G440" s="56"/>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53"/>
      <c r="F441" s="53"/>
      <c r="G441" s="56"/>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53"/>
      <c r="F442" s="53"/>
      <c r="G442" s="56"/>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53"/>
      <c r="F443" s="53"/>
      <c r="G443" s="56"/>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53"/>
      <c r="F444" s="53"/>
      <c r="G444" s="56"/>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53"/>
      <c r="F445" s="53"/>
      <c r="G445" s="56"/>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53"/>
      <c r="F446" s="53"/>
      <c r="G446" s="56"/>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53"/>
      <c r="F447" s="53"/>
      <c r="G447" s="56"/>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53"/>
      <c r="F448" s="53"/>
      <c r="G448" s="56"/>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53"/>
      <c r="F449" s="53"/>
      <c r="G449" s="56"/>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53"/>
      <c r="F450" s="53"/>
      <c r="G450" s="56"/>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53"/>
      <c r="F451" s="53"/>
      <c r="G451" s="56"/>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53"/>
      <c r="F452" s="53"/>
      <c r="G452" s="56"/>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53"/>
      <c r="F453" s="53"/>
      <c r="G453" s="56"/>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53"/>
      <c r="F454" s="53"/>
      <c r="G454" s="56"/>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53"/>
      <c r="F455" s="53"/>
      <c r="G455" s="56"/>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53"/>
      <c r="F456" s="53"/>
      <c r="G456" s="56"/>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53"/>
      <c r="F457" s="53"/>
      <c r="G457" s="56"/>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53"/>
      <c r="F458" s="53"/>
      <c r="G458" s="56"/>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53"/>
      <c r="F459" s="53"/>
      <c r="G459" s="56"/>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53"/>
      <c r="F460" s="53"/>
      <c r="G460" s="56"/>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53"/>
      <c r="F461" s="53"/>
      <c r="G461" s="56"/>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53"/>
      <c r="F462" s="53"/>
      <c r="G462" s="56"/>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53"/>
      <c r="F463" s="53"/>
      <c r="G463" s="56"/>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53"/>
      <c r="F464" s="53"/>
      <c r="G464" s="56"/>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53"/>
      <c r="F465" s="53"/>
      <c r="G465" s="56"/>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53"/>
      <c r="F466" s="53"/>
      <c r="G466" s="56"/>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53"/>
      <c r="F467" s="53"/>
      <c r="G467" s="56"/>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53"/>
      <c r="F468" s="53"/>
      <c r="G468" s="56"/>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53"/>
      <c r="F469" s="53"/>
      <c r="G469" s="56"/>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53"/>
      <c r="F470" s="53"/>
      <c r="G470" s="56"/>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53"/>
      <c r="F471" s="53"/>
      <c r="G471" s="56"/>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53"/>
      <c r="F472" s="53"/>
      <c r="G472" s="56"/>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53"/>
      <c r="F473" s="53"/>
      <c r="G473" s="56"/>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53"/>
      <c r="F474" s="53"/>
      <c r="G474" s="56"/>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53"/>
      <c r="F475" s="53"/>
      <c r="G475" s="56"/>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53"/>
      <c r="F476" s="53"/>
      <c r="G476" s="56"/>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53"/>
      <c r="F477" s="53"/>
      <c r="G477" s="56"/>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53"/>
      <c r="F478" s="53"/>
      <c r="G478" s="56"/>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53"/>
      <c r="F479" s="53"/>
      <c r="G479" s="56"/>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53"/>
      <c r="F480" s="53"/>
      <c r="G480" s="56"/>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53"/>
      <c r="F481" s="53"/>
      <c r="G481" s="56"/>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53"/>
      <c r="F482" s="53"/>
      <c r="G482" s="56"/>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53"/>
      <c r="F483" s="53"/>
      <c r="G483" s="56"/>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53"/>
      <c r="F484" s="53"/>
      <c r="G484" s="56"/>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53"/>
      <c r="F485" s="53"/>
      <c r="G485" s="56"/>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53"/>
      <c r="F486" s="53"/>
      <c r="G486" s="56"/>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53"/>
      <c r="F487" s="53"/>
      <c r="G487" s="56"/>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53"/>
      <c r="F488" s="53"/>
      <c r="G488" s="56"/>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53"/>
      <c r="F489" s="53"/>
      <c r="G489" s="56"/>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53"/>
      <c r="F490" s="53"/>
      <c r="G490" s="56"/>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53"/>
      <c r="F491" s="53"/>
      <c r="G491" s="56"/>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53"/>
      <c r="F492" s="53"/>
      <c r="G492" s="56"/>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53"/>
      <c r="F493" s="53"/>
      <c r="G493" s="56"/>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53"/>
      <c r="F494" s="53"/>
      <c r="G494" s="56"/>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53"/>
      <c r="F495" s="53"/>
      <c r="G495" s="56"/>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53"/>
      <c r="F496" s="53"/>
      <c r="G496" s="56"/>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53"/>
      <c r="F497" s="53"/>
      <c r="G497" s="56"/>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53"/>
      <c r="F498" s="53"/>
      <c r="G498" s="56"/>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53"/>
      <c r="F499" s="53"/>
      <c r="G499" s="56"/>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53"/>
      <c r="F500" s="53"/>
      <c r="G500" s="56"/>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53"/>
      <c r="F501" s="53"/>
      <c r="G501" s="56"/>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53"/>
      <c r="F502" s="53"/>
      <c r="G502" s="56"/>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53"/>
      <c r="F503" s="53"/>
      <c r="G503" s="56"/>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53"/>
      <c r="F504" s="53"/>
      <c r="G504" s="56"/>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53"/>
      <c r="F505" s="53"/>
      <c r="G505" s="56"/>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53"/>
      <c r="F506" s="53"/>
      <c r="G506" s="56"/>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53"/>
      <c r="F507" s="53"/>
      <c r="G507" s="56"/>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53"/>
      <c r="F508" s="53"/>
      <c r="G508" s="56"/>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53"/>
      <c r="F509" s="53"/>
      <c r="G509" s="56"/>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53"/>
      <c r="F510" s="53"/>
      <c r="G510" s="56"/>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53"/>
      <c r="F511" s="53"/>
      <c r="G511" s="56"/>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53"/>
      <c r="F512" s="53"/>
      <c r="G512" s="56"/>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53"/>
      <c r="F513" s="53"/>
      <c r="G513" s="56"/>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53"/>
      <c r="F514" s="53"/>
      <c r="G514" s="56"/>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53"/>
      <c r="F515" s="53"/>
      <c r="G515" s="56"/>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53"/>
      <c r="F516" s="53"/>
      <c r="G516" s="56"/>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53"/>
      <c r="F517" s="53"/>
      <c r="G517" s="56"/>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53"/>
      <c r="F518" s="53"/>
      <c r="G518" s="56"/>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53"/>
      <c r="F519" s="53"/>
      <c r="G519" s="56"/>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53"/>
      <c r="F520" s="53"/>
      <c r="G520" s="56"/>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53"/>
      <c r="F521" s="53"/>
      <c r="G521" s="56"/>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53"/>
      <c r="F522" s="53"/>
      <c r="G522" s="56"/>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53"/>
      <c r="F523" s="53"/>
      <c r="G523" s="56"/>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53"/>
      <c r="F524" s="53"/>
      <c r="G524" s="56"/>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53"/>
      <c r="F525" s="53"/>
      <c r="G525" s="56"/>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53"/>
      <c r="F526" s="53"/>
      <c r="G526" s="56"/>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53"/>
      <c r="F527" s="53"/>
      <c r="G527" s="56"/>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53"/>
      <c r="F528" s="53"/>
      <c r="G528" s="56"/>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53"/>
      <c r="F529" s="53"/>
      <c r="G529" s="56"/>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53"/>
      <c r="F530" s="53"/>
      <c r="G530" s="56"/>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53"/>
      <c r="F531" s="53"/>
      <c r="G531" s="56"/>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53"/>
      <c r="F532" s="53"/>
      <c r="G532" s="56"/>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53"/>
      <c r="F533" s="53"/>
      <c r="G533" s="56"/>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53"/>
      <c r="F534" s="53"/>
      <c r="G534" s="56"/>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53"/>
      <c r="F535" s="53"/>
      <c r="G535" s="56"/>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53"/>
      <c r="F536" s="53"/>
      <c r="G536" s="56"/>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53"/>
      <c r="F537" s="53"/>
      <c r="G537" s="56"/>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53"/>
      <c r="F538" s="53"/>
      <c r="G538" s="56"/>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53"/>
      <c r="F539" s="53"/>
      <c r="G539" s="56"/>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53"/>
      <c r="F540" s="53"/>
      <c r="G540" s="56"/>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53"/>
      <c r="F541" s="53"/>
      <c r="G541" s="56"/>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53"/>
      <c r="F542" s="53"/>
      <c r="G542" s="56"/>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53"/>
      <c r="F543" s="53"/>
      <c r="G543" s="56"/>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53"/>
      <c r="F544" s="53"/>
      <c r="G544" s="56"/>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53"/>
      <c r="F545" s="53"/>
      <c r="G545" s="56"/>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53"/>
      <c r="F546" s="53"/>
      <c r="G546" s="56"/>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53"/>
      <c r="F547" s="53"/>
      <c r="G547" s="56"/>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53"/>
      <c r="F548" s="53"/>
      <c r="G548" s="56"/>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53"/>
      <c r="F549" s="53"/>
      <c r="G549" s="56"/>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53"/>
      <c r="F550" s="53"/>
      <c r="G550" s="56"/>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53"/>
      <c r="F551" s="53"/>
      <c r="G551" s="56"/>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53"/>
      <c r="F552" s="53"/>
      <c r="G552" s="56"/>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53"/>
      <c r="F553" s="53"/>
      <c r="G553" s="56"/>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53"/>
      <c r="F554" s="53"/>
      <c r="G554" s="56"/>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53"/>
      <c r="F555" s="53"/>
      <c r="G555" s="56"/>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53"/>
      <c r="F556" s="53"/>
      <c r="G556" s="56"/>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53"/>
      <c r="F557" s="53"/>
      <c r="G557" s="56"/>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53"/>
      <c r="F558" s="53"/>
      <c r="G558" s="56"/>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53"/>
      <c r="F559" s="53"/>
      <c r="G559" s="56"/>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53"/>
      <c r="F560" s="53"/>
      <c r="G560" s="56"/>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53"/>
      <c r="F561" s="53"/>
      <c r="G561" s="56"/>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53"/>
      <c r="F562" s="53"/>
      <c r="G562" s="56"/>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53"/>
      <c r="F563" s="53"/>
      <c r="G563" s="56"/>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53"/>
      <c r="F564" s="53"/>
      <c r="G564" s="56"/>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53"/>
      <c r="F565" s="53"/>
      <c r="G565" s="56"/>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53"/>
      <c r="F566" s="53"/>
      <c r="G566" s="56"/>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53"/>
      <c r="F567" s="53"/>
      <c r="G567" s="56"/>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53"/>
      <c r="F568" s="53"/>
      <c r="G568" s="56"/>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53"/>
      <c r="F569" s="53"/>
      <c r="G569" s="56"/>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53"/>
      <c r="F570" s="53"/>
      <c r="G570" s="56"/>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53"/>
      <c r="F571" s="53"/>
      <c r="G571" s="56"/>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53"/>
      <c r="F572" s="53"/>
      <c r="G572" s="56"/>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53"/>
      <c r="F573" s="53"/>
      <c r="G573" s="56"/>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53"/>
      <c r="F574" s="53"/>
      <c r="G574" s="56"/>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53"/>
      <c r="F575" s="53"/>
      <c r="G575" s="56"/>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53"/>
      <c r="F576" s="53"/>
      <c r="G576" s="56"/>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53"/>
      <c r="F577" s="53"/>
      <c r="G577" s="56"/>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53"/>
      <c r="F578" s="53"/>
      <c r="G578" s="56"/>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53"/>
      <c r="F579" s="53"/>
      <c r="G579" s="56"/>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53"/>
      <c r="F580" s="53"/>
      <c r="G580" s="56"/>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53"/>
      <c r="F581" s="53"/>
      <c r="G581" s="56"/>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53"/>
      <c r="F582" s="53"/>
      <c r="G582" s="56"/>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53"/>
      <c r="F583" s="53"/>
      <c r="G583" s="56"/>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53"/>
      <c r="F584" s="53"/>
      <c r="G584" s="56"/>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53"/>
      <c r="F585" s="53"/>
      <c r="G585" s="56"/>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53"/>
      <c r="F586" s="53"/>
      <c r="G586" s="56"/>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53"/>
      <c r="F587" s="53"/>
      <c r="G587" s="56"/>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53"/>
      <c r="F588" s="53"/>
      <c r="G588" s="56"/>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53"/>
      <c r="F589" s="53"/>
      <c r="G589" s="56"/>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53"/>
      <c r="F590" s="53"/>
      <c r="G590" s="56"/>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53"/>
      <c r="F591" s="53"/>
      <c r="G591" s="56"/>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53"/>
      <c r="F592" s="53"/>
      <c r="G592" s="56"/>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53"/>
      <c r="F593" s="53"/>
      <c r="G593" s="56"/>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53"/>
      <c r="F594" s="53"/>
      <c r="G594" s="56"/>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53"/>
      <c r="F595" s="53"/>
      <c r="G595" s="56"/>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53"/>
      <c r="F596" s="53"/>
      <c r="G596" s="56"/>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53"/>
      <c r="F597" s="53"/>
      <c r="G597" s="56"/>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53"/>
      <c r="F598" s="53"/>
      <c r="G598" s="56"/>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53"/>
      <c r="F599" s="53"/>
      <c r="G599" s="56"/>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53"/>
      <c r="F600" s="53"/>
      <c r="G600" s="56"/>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53"/>
      <c r="F601" s="53"/>
      <c r="G601" s="56"/>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53"/>
      <c r="F602" s="53"/>
      <c r="G602" s="56"/>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53"/>
      <c r="F603" s="53"/>
      <c r="G603" s="56"/>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53"/>
      <c r="F604" s="53"/>
      <c r="G604" s="56"/>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53"/>
      <c r="F605" s="53"/>
      <c r="G605" s="56"/>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53"/>
      <c r="F606" s="53"/>
      <c r="G606" s="56"/>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53"/>
      <c r="F607" s="53"/>
      <c r="G607" s="56"/>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53"/>
      <c r="F608" s="53"/>
      <c r="G608" s="56"/>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53"/>
      <c r="F609" s="53"/>
      <c r="G609" s="56"/>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53"/>
      <c r="F610" s="53"/>
      <c r="G610" s="56"/>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53"/>
      <c r="F611" s="53"/>
      <c r="G611" s="56"/>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53"/>
      <c r="F612" s="53"/>
      <c r="G612" s="56"/>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53"/>
      <c r="F613" s="53"/>
      <c r="G613" s="56"/>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53"/>
      <c r="F614" s="53"/>
      <c r="G614" s="56"/>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53"/>
      <c r="F615" s="53"/>
      <c r="G615" s="56"/>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53"/>
      <c r="F616" s="53"/>
      <c r="G616" s="56"/>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53"/>
      <c r="F617" s="53"/>
      <c r="G617" s="56"/>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53"/>
      <c r="F618" s="53"/>
      <c r="G618" s="56"/>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53"/>
      <c r="F619" s="53"/>
      <c r="G619" s="56"/>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53"/>
      <c r="F620" s="53"/>
      <c r="G620" s="56"/>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53"/>
      <c r="F621" s="53"/>
      <c r="G621" s="56"/>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53"/>
      <c r="F622" s="53"/>
      <c r="G622" s="56"/>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53"/>
      <c r="F623" s="53"/>
      <c r="G623" s="56"/>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53"/>
      <c r="F624" s="53"/>
      <c r="G624" s="56"/>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53"/>
      <c r="F625" s="53"/>
      <c r="G625" s="56"/>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53"/>
      <c r="F626" s="53"/>
      <c r="G626" s="56"/>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53"/>
      <c r="F627" s="53"/>
      <c r="G627" s="56"/>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53"/>
      <c r="F628" s="53"/>
      <c r="G628" s="56"/>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53"/>
      <c r="F629" s="53"/>
      <c r="G629" s="56"/>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53"/>
      <c r="F630" s="53"/>
      <c r="G630" s="56"/>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53"/>
      <c r="F631" s="53"/>
      <c r="G631" s="56"/>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53"/>
      <c r="F632" s="53"/>
      <c r="G632" s="56"/>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53"/>
      <c r="F633" s="53"/>
      <c r="G633" s="56"/>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53"/>
      <c r="F634" s="53"/>
      <c r="G634" s="56"/>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53"/>
      <c r="F635" s="53"/>
      <c r="G635" s="56"/>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53"/>
      <c r="F636" s="53"/>
      <c r="G636" s="56"/>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53"/>
      <c r="F637" s="53"/>
      <c r="G637" s="56"/>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53"/>
      <c r="F638" s="53"/>
      <c r="G638" s="56"/>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53"/>
      <c r="F639" s="53"/>
      <c r="G639" s="56"/>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53"/>
      <c r="F640" s="53"/>
      <c r="G640" s="56"/>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53"/>
      <c r="F641" s="53"/>
      <c r="G641" s="56"/>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53"/>
      <c r="F642" s="53"/>
      <c r="G642" s="56"/>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53"/>
      <c r="F643" s="53"/>
      <c r="G643" s="56"/>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53"/>
      <c r="F644" s="53"/>
      <c r="G644" s="56"/>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53"/>
      <c r="F645" s="53"/>
      <c r="G645" s="56"/>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53"/>
      <c r="F646" s="53"/>
      <c r="G646" s="56"/>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53"/>
      <c r="F647" s="53"/>
      <c r="G647" s="56"/>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53"/>
      <c r="F648" s="53"/>
      <c r="G648" s="56"/>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53"/>
      <c r="F649" s="53"/>
      <c r="G649" s="56"/>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53"/>
      <c r="F650" s="53"/>
      <c r="G650" s="56"/>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53"/>
      <c r="F651" s="53"/>
      <c r="G651" s="56"/>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53"/>
      <c r="F652" s="53"/>
      <c r="G652" s="56"/>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53"/>
      <c r="F653" s="53"/>
      <c r="G653" s="56"/>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53"/>
      <c r="F654" s="53"/>
      <c r="G654" s="56"/>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53"/>
      <c r="F655" s="53"/>
      <c r="G655" s="56"/>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53"/>
      <c r="F656" s="53"/>
      <c r="G656" s="56"/>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53"/>
      <c r="F657" s="53"/>
      <c r="G657" s="56"/>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53"/>
      <c r="F658" s="53"/>
      <c r="G658" s="56"/>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53"/>
      <c r="F659" s="53"/>
      <c r="G659" s="56"/>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53"/>
      <c r="F660" s="53"/>
      <c r="G660" s="56"/>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53"/>
      <c r="F661" s="53"/>
      <c r="G661" s="56"/>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53"/>
      <c r="F662" s="53"/>
      <c r="G662" s="56"/>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53"/>
      <c r="F663" s="53"/>
      <c r="G663" s="56"/>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53"/>
      <c r="F664" s="53"/>
      <c r="G664" s="56"/>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53"/>
      <c r="F665" s="53"/>
      <c r="G665" s="56"/>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53"/>
      <c r="F666" s="53"/>
      <c r="G666" s="56"/>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53"/>
      <c r="F667" s="53"/>
      <c r="G667" s="56"/>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53"/>
      <c r="F668" s="53"/>
      <c r="G668" s="56"/>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53"/>
      <c r="F669" s="53"/>
      <c r="G669" s="56"/>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53"/>
      <c r="F670" s="53"/>
      <c r="G670" s="56"/>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53"/>
      <c r="F671" s="53"/>
      <c r="G671" s="56"/>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53"/>
      <c r="F672" s="53"/>
      <c r="G672" s="56"/>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53"/>
      <c r="F673" s="53"/>
      <c r="G673" s="56"/>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53"/>
      <c r="F674" s="53"/>
      <c r="G674" s="56"/>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53"/>
      <c r="F675" s="53"/>
      <c r="G675" s="56"/>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53"/>
      <c r="F676" s="53"/>
      <c r="G676" s="56"/>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53"/>
      <c r="F677" s="53"/>
      <c r="G677" s="56"/>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53"/>
      <c r="F678" s="53"/>
      <c r="G678" s="56"/>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53"/>
      <c r="F679" s="53"/>
      <c r="G679" s="56"/>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53"/>
      <c r="F680" s="53"/>
      <c r="G680" s="56"/>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53"/>
      <c r="F681" s="53"/>
      <c r="G681" s="56"/>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53"/>
      <c r="F682" s="53"/>
      <c r="G682" s="56"/>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53"/>
      <c r="F683" s="53"/>
      <c r="G683" s="56"/>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53"/>
      <c r="F684" s="53"/>
      <c r="G684" s="56"/>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53"/>
      <c r="F685" s="53"/>
      <c r="G685" s="56"/>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53"/>
      <c r="F686" s="53"/>
      <c r="G686" s="56"/>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53"/>
      <c r="F687" s="53"/>
      <c r="G687" s="56"/>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53"/>
      <c r="F688" s="53"/>
      <c r="G688" s="56"/>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53"/>
      <c r="F689" s="53"/>
      <c r="G689" s="56"/>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53"/>
      <c r="F690" s="53"/>
      <c r="G690" s="56"/>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53"/>
      <c r="F691" s="53"/>
      <c r="G691" s="56"/>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53"/>
      <c r="F692" s="53"/>
      <c r="G692" s="56"/>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53"/>
      <c r="F693" s="53"/>
      <c r="G693" s="56"/>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53"/>
      <c r="F694" s="53"/>
      <c r="G694" s="56"/>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53"/>
      <c r="F695" s="53"/>
      <c r="G695" s="56"/>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53"/>
      <c r="F696" s="53"/>
      <c r="G696" s="56"/>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53"/>
      <c r="F697" s="53"/>
      <c r="G697" s="56"/>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53"/>
      <c r="F698" s="53"/>
      <c r="G698" s="56"/>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53"/>
      <c r="F699" s="53"/>
      <c r="G699" s="56"/>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53"/>
      <c r="F700" s="53"/>
      <c r="G700" s="56"/>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53"/>
      <c r="F701" s="53"/>
      <c r="G701" s="56"/>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53"/>
      <c r="F702" s="53"/>
      <c r="G702" s="56"/>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53"/>
      <c r="F703" s="53"/>
      <c r="G703" s="56"/>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53"/>
      <c r="F704" s="53"/>
      <c r="G704" s="56"/>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53"/>
      <c r="F705" s="53"/>
      <c r="G705" s="56"/>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53"/>
      <c r="F706" s="53"/>
      <c r="G706" s="56"/>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53"/>
      <c r="F707" s="53"/>
      <c r="G707" s="56"/>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53"/>
      <c r="F708" s="53"/>
      <c r="G708" s="56"/>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53"/>
      <c r="F709" s="53"/>
      <c r="G709" s="56"/>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53"/>
      <c r="F710" s="53"/>
      <c r="G710" s="56"/>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53"/>
      <c r="F711" s="53"/>
      <c r="G711" s="56"/>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53"/>
      <c r="F712" s="53"/>
      <c r="G712" s="56"/>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53"/>
      <c r="F713" s="53"/>
      <c r="G713" s="56"/>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53"/>
      <c r="F714" s="53"/>
      <c r="G714" s="56"/>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53"/>
      <c r="F715" s="53"/>
      <c r="G715" s="56"/>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53"/>
      <c r="F716" s="53"/>
      <c r="G716" s="56"/>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53"/>
      <c r="F717" s="53"/>
      <c r="G717" s="56"/>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53"/>
      <c r="F718" s="53"/>
      <c r="G718" s="56"/>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53"/>
      <c r="F719" s="53"/>
      <c r="G719" s="56"/>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53"/>
      <c r="F720" s="53"/>
      <c r="G720" s="56"/>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53"/>
      <c r="F721" s="53"/>
      <c r="G721" s="56"/>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53"/>
      <c r="F722" s="53"/>
      <c r="G722" s="56"/>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53"/>
      <c r="F723" s="53"/>
      <c r="G723" s="56"/>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53"/>
      <c r="F724" s="53"/>
      <c r="G724" s="56"/>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53"/>
      <c r="F725" s="53"/>
      <c r="G725" s="56"/>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53"/>
      <c r="F726" s="53"/>
      <c r="G726" s="56"/>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53"/>
      <c r="F727" s="53"/>
      <c r="G727" s="56"/>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53"/>
      <c r="F728" s="53"/>
      <c r="G728" s="56"/>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53"/>
      <c r="F729" s="53"/>
      <c r="G729" s="56"/>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53"/>
      <c r="F730" s="53"/>
      <c r="G730" s="56"/>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53"/>
      <c r="F731" s="53"/>
      <c r="G731" s="56"/>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53"/>
      <c r="F732" s="53"/>
      <c r="G732" s="56"/>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53"/>
      <c r="F733" s="53"/>
      <c r="G733" s="56"/>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53"/>
      <c r="F734" s="53"/>
      <c r="G734" s="56"/>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53"/>
      <c r="F735" s="53"/>
      <c r="G735" s="56"/>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53"/>
      <c r="F736" s="53"/>
      <c r="G736" s="56"/>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53"/>
      <c r="F737" s="53"/>
      <c r="G737" s="56"/>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53"/>
      <c r="F738" s="53"/>
      <c r="G738" s="56"/>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53"/>
      <c r="F739" s="53"/>
      <c r="G739" s="56"/>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53"/>
      <c r="F740" s="53"/>
      <c r="G740" s="56"/>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53"/>
      <c r="F741" s="53"/>
      <c r="G741" s="56"/>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53"/>
      <c r="F742" s="53"/>
      <c r="G742" s="56"/>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53"/>
      <c r="F743" s="53"/>
      <c r="G743" s="56"/>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53"/>
      <c r="F744" s="53"/>
      <c r="G744" s="56"/>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53"/>
      <c r="F745" s="53"/>
      <c r="G745" s="56"/>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53"/>
      <c r="F746" s="53"/>
      <c r="G746" s="56"/>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53"/>
      <c r="F747" s="53"/>
      <c r="G747" s="56"/>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53"/>
      <c r="F748" s="53"/>
      <c r="G748" s="56"/>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53"/>
      <c r="F749" s="53"/>
      <c r="G749" s="56"/>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53"/>
      <c r="F750" s="53"/>
      <c r="G750" s="56"/>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53"/>
      <c r="F751" s="53"/>
      <c r="G751" s="56"/>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53"/>
      <c r="F752" s="53"/>
      <c r="G752" s="56"/>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53"/>
      <c r="F753" s="53"/>
      <c r="G753" s="56"/>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53"/>
      <c r="F754" s="53"/>
      <c r="G754" s="56"/>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53"/>
      <c r="F755" s="53"/>
      <c r="G755" s="56"/>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53"/>
      <c r="F756" s="53"/>
      <c r="G756" s="56"/>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53"/>
      <c r="F757" s="53"/>
      <c r="G757" s="56"/>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53"/>
      <c r="F758" s="53"/>
      <c r="G758" s="56"/>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53"/>
      <c r="F759" s="53"/>
      <c r="G759" s="56"/>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53"/>
      <c r="F760" s="53"/>
      <c r="G760" s="56"/>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53"/>
      <c r="F761" s="53"/>
      <c r="G761" s="56"/>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53"/>
      <c r="F762" s="53"/>
      <c r="G762" s="56"/>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53"/>
      <c r="F763" s="53"/>
      <c r="G763" s="56"/>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53"/>
      <c r="F764" s="53"/>
      <c r="G764" s="56"/>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53"/>
      <c r="F765" s="53"/>
      <c r="G765" s="56"/>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53"/>
      <c r="F766" s="53"/>
      <c r="G766" s="56"/>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53"/>
      <c r="F767" s="53"/>
      <c r="G767" s="56"/>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53"/>
      <c r="F768" s="53"/>
      <c r="G768" s="56"/>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53"/>
      <c r="F769" s="53"/>
      <c r="G769" s="56"/>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53"/>
      <c r="F770" s="53"/>
      <c r="G770" s="56"/>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53"/>
      <c r="F771" s="53"/>
      <c r="G771" s="56"/>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53"/>
      <c r="F772" s="53"/>
      <c r="G772" s="56"/>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53"/>
      <c r="F773" s="53"/>
      <c r="G773" s="56"/>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53"/>
      <c r="F774" s="53"/>
      <c r="G774" s="56"/>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53"/>
      <c r="F775" s="53"/>
      <c r="G775" s="56"/>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53"/>
      <c r="F776" s="53"/>
      <c r="G776" s="56"/>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53"/>
      <c r="F777" s="53"/>
      <c r="G777" s="56"/>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53"/>
      <c r="F778" s="53"/>
      <c r="G778" s="56"/>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53"/>
      <c r="F779" s="53"/>
      <c r="G779" s="56"/>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53"/>
      <c r="F780" s="53"/>
      <c r="G780" s="56"/>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53"/>
      <c r="F781" s="53"/>
      <c r="G781" s="56"/>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53"/>
      <c r="F782" s="53"/>
      <c r="G782" s="56"/>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53"/>
      <c r="F783" s="53"/>
      <c r="G783" s="56"/>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53"/>
      <c r="F784" s="53"/>
      <c r="G784" s="56"/>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53"/>
      <c r="F785" s="53"/>
      <c r="G785" s="56"/>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53"/>
      <c r="F786" s="53"/>
      <c r="G786" s="56"/>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53"/>
      <c r="F787" s="53"/>
      <c r="G787" s="56"/>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53"/>
      <c r="F788" s="53"/>
      <c r="G788" s="56"/>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53"/>
      <c r="F789" s="53"/>
      <c r="G789" s="56"/>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53"/>
      <c r="F790" s="53"/>
      <c r="G790" s="56"/>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53"/>
      <c r="F791" s="53"/>
      <c r="G791" s="56"/>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53"/>
      <c r="F792" s="53"/>
      <c r="G792" s="56"/>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53"/>
      <c r="F793" s="53"/>
      <c r="G793" s="56"/>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53"/>
      <c r="F794" s="53"/>
      <c r="G794" s="56"/>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53"/>
      <c r="F795" s="53"/>
      <c r="G795" s="56"/>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53"/>
      <c r="F796" s="53"/>
      <c r="G796" s="56"/>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53"/>
      <c r="F797" s="53"/>
      <c r="G797" s="56"/>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53"/>
      <c r="F798" s="53"/>
      <c r="G798" s="56"/>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53"/>
      <c r="F799" s="53"/>
      <c r="G799" s="56"/>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53"/>
      <c r="F800" s="53"/>
      <c r="G800" s="56"/>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53"/>
      <c r="F801" s="53"/>
      <c r="G801" s="56"/>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53"/>
      <c r="F802" s="53"/>
      <c r="G802" s="56"/>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53"/>
      <c r="F803" s="53"/>
      <c r="G803" s="56"/>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53"/>
      <c r="F804" s="53"/>
      <c r="G804" s="56"/>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53"/>
      <c r="F805" s="53"/>
      <c r="G805" s="56"/>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53"/>
      <c r="F806" s="53"/>
      <c r="G806" s="56"/>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53"/>
      <c r="F807" s="53"/>
      <c r="G807" s="56"/>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53"/>
      <c r="F808" s="53"/>
      <c r="G808" s="56"/>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53"/>
      <c r="F809" s="53"/>
      <c r="G809" s="56"/>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53"/>
      <c r="F810" s="53"/>
      <c r="G810" s="56"/>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53"/>
      <c r="F811" s="53"/>
      <c r="G811" s="56"/>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53"/>
      <c r="F812" s="53"/>
      <c r="G812" s="56"/>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53"/>
      <c r="F813" s="53"/>
      <c r="G813" s="56"/>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53"/>
      <c r="F814" s="53"/>
      <c r="G814" s="56"/>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53"/>
      <c r="F815" s="53"/>
      <c r="G815" s="56"/>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53"/>
      <c r="F816" s="53"/>
      <c r="G816" s="56"/>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53"/>
      <c r="F817" s="53"/>
      <c r="G817" s="56"/>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53"/>
      <c r="F818" s="53"/>
      <c r="G818" s="56"/>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53"/>
      <c r="F819" s="53"/>
      <c r="G819" s="56"/>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53"/>
      <c r="F820" s="53"/>
      <c r="G820" s="56"/>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53"/>
      <c r="F821" s="53"/>
      <c r="G821" s="56"/>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53"/>
      <c r="F822" s="53"/>
      <c r="G822" s="56"/>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53"/>
      <c r="F823" s="53"/>
      <c r="G823" s="56"/>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53"/>
      <c r="F824" s="53"/>
      <c r="G824" s="56"/>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53"/>
      <c r="F825" s="53"/>
      <c r="G825" s="56"/>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53"/>
      <c r="F826" s="53"/>
      <c r="G826" s="56"/>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53"/>
      <c r="F827" s="53"/>
      <c r="G827" s="56"/>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53"/>
      <c r="F828" s="53"/>
      <c r="G828" s="56"/>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53"/>
      <c r="F829" s="53"/>
      <c r="G829" s="56"/>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53"/>
      <c r="F830" s="53"/>
      <c r="G830" s="56"/>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53"/>
      <c r="F831" s="53"/>
      <c r="G831" s="56"/>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53"/>
      <c r="F832" s="53"/>
      <c r="G832" s="56"/>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53"/>
      <c r="F833" s="53"/>
      <c r="G833" s="56"/>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53"/>
      <c r="F834" s="53"/>
      <c r="G834" s="56"/>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53"/>
      <c r="F835" s="53"/>
      <c r="G835" s="56"/>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53"/>
      <c r="F836" s="53"/>
      <c r="G836" s="56"/>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53"/>
      <c r="F837" s="53"/>
      <c r="G837" s="56"/>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53"/>
      <c r="F838" s="53"/>
      <c r="G838" s="56"/>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53"/>
      <c r="F839" s="53"/>
      <c r="G839" s="56"/>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53"/>
      <c r="F840" s="53"/>
      <c r="G840" s="56"/>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53"/>
      <c r="F841" s="53"/>
      <c r="G841" s="56"/>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53"/>
      <c r="F842" s="53"/>
      <c r="G842" s="56"/>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53"/>
      <c r="F843" s="53"/>
      <c r="G843" s="56"/>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53"/>
      <c r="F844" s="53"/>
      <c r="G844" s="56"/>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53"/>
      <c r="F845" s="53"/>
      <c r="G845" s="56"/>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53"/>
      <c r="F846" s="53"/>
      <c r="G846" s="56"/>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53"/>
      <c r="F847" s="53"/>
      <c r="G847" s="56"/>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53"/>
      <c r="F848" s="53"/>
      <c r="G848" s="56"/>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53"/>
      <c r="F849" s="53"/>
      <c r="G849" s="56"/>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53"/>
      <c r="F850" s="53"/>
      <c r="G850" s="56"/>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53"/>
      <c r="F851" s="53"/>
      <c r="G851" s="56"/>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53"/>
      <c r="F852" s="53"/>
      <c r="G852" s="56"/>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53"/>
      <c r="F853" s="53"/>
      <c r="G853" s="56"/>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53"/>
      <c r="F854" s="53"/>
      <c r="G854" s="56"/>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53"/>
      <c r="F855" s="53"/>
      <c r="G855" s="56"/>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53"/>
      <c r="F856" s="53"/>
      <c r="G856" s="56"/>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53"/>
      <c r="F857" s="53"/>
      <c r="G857" s="56"/>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53"/>
      <c r="F858" s="53"/>
      <c r="G858" s="56"/>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53"/>
      <c r="F859" s="53"/>
      <c r="G859" s="56"/>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53"/>
      <c r="F860" s="53"/>
      <c r="G860" s="56"/>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53"/>
      <c r="F861" s="53"/>
      <c r="G861" s="56"/>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53"/>
      <c r="F862" s="53"/>
      <c r="G862" s="56"/>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53"/>
      <c r="F863" s="53"/>
      <c r="G863" s="56"/>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53"/>
      <c r="F864" s="53"/>
      <c r="G864" s="56"/>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53"/>
      <c r="F865" s="53"/>
      <c r="G865" s="56"/>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53"/>
      <c r="F866" s="53"/>
      <c r="G866" s="56"/>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53"/>
      <c r="F867" s="53"/>
      <c r="G867" s="56"/>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53"/>
      <c r="F868" s="53"/>
      <c r="G868" s="56"/>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53"/>
      <c r="F869" s="53"/>
      <c r="G869" s="56"/>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53"/>
      <c r="F870" s="53"/>
      <c r="G870" s="56"/>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53"/>
      <c r="F871" s="53"/>
      <c r="G871" s="56"/>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53"/>
      <c r="F872" s="53"/>
      <c r="G872" s="56"/>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53"/>
      <c r="F873" s="53"/>
      <c r="G873" s="56"/>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53"/>
      <c r="F874" s="53"/>
      <c r="G874" s="56"/>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53"/>
      <c r="F875" s="53"/>
      <c r="G875" s="56"/>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53"/>
      <c r="F876" s="53"/>
      <c r="G876" s="56"/>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53"/>
      <c r="F877" s="53"/>
      <c r="G877" s="56"/>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53"/>
      <c r="F878" s="53"/>
      <c r="G878" s="56"/>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53"/>
      <c r="F879" s="53"/>
      <c r="G879" s="56"/>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53"/>
      <c r="F880" s="53"/>
      <c r="G880" s="56"/>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53"/>
      <c r="F881" s="53"/>
      <c r="G881" s="56"/>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53"/>
      <c r="F882" s="53"/>
      <c r="G882" s="56"/>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53"/>
      <c r="F883" s="53"/>
      <c r="G883" s="56"/>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53"/>
      <c r="F884" s="53"/>
      <c r="G884" s="56"/>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53"/>
      <c r="F885" s="53"/>
      <c r="G885" s="56"/>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53"/>
      <c r="F886" s="53"/>
      <c r="G886" s="56"/>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53"/>
      <c r="F887" s="53"/>
      <c r="G887" s="56"/>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53"/>
      <c r="F888" s="53"/>
      <c r="G888" s="56"/>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53"/>
      <c r="F889" s="53"/>
      <c r="G889" s="56"/>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53"/>
      <c r="F890" s="53"/>
      <c r="G890" s="56"/>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53"/>
      <c r="F891" s="53"/>
      <c r="G891" s="56"/>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53"/>
      <c r="F892" s="53"/>
      <c r="G892" s="56"/>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53"/>
      <c r="F893" s="53"/>
      <c r="G893" s="56"/>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53"/>
      <c r="F894" s="53"/>
      <c r="G894" s="56"/>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53"/>
      <c r="F895" s="53"/>
      <c r="G895" s="56"/>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53"/>
      <c r="F896" s="53"/>
      <c r="G896" s="56"/>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53"/>
      <c r="F897" s="53"/>
      <c r="G897" s="56"/>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53"/>
      <c r="F898" s="53"/>
      <c r="G898" s="56"/>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53"/>
      <c r="F899" s="53"/>
      <c r="G899" s="56"/>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53"/>
      <c r="F900" s="53"/>
      <c r="G900" s="56"/>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53"/>
      <c r="F901" s="53"/>
      <c r="G901" s="56"/>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53"/>
      <c r="F902" s="53"/>
      <c r="G902" s="56"/>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53"/>
      <c r="F903" s="53"/>
      <c r="G903" s="56"/>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53"/>
      <c r="F904" s="53"/>
      <c r="G904" s="56"/>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53"/>
      <c r="F905" s="53"/>
      <c r="G905" s="56"/>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53"/>
      <c r="F906" s="53"/>
      <c r="G906" s="56"/>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53"/>
      <c r="F907" s="53"/>
      <c r="G907" s="56"/>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53"/>
      <c r="F908" s="53"/>
      <c r="G908" s="56"/>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53"/>
      <c r="F909" s="53"/>
      <c r="G909" s="56"/>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53"/>
      <c r="F910" s="53"/>
      <c r="G910" s="56"/>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53"/>
      <c r="F911" s="53"/>
      <c r="G911" s="56"/>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53"/>
      <c r="F912" s="53"/>
      <c r="G912" s="56"/>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53"/>
      <c r="F913" s="53"/>
      <c r="G913" s="56"/>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53"/>
      <c r="F914" s="53"/>
      <c r="G914" s="56"/>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53"/>
      <c r="F915" s="53"/>
      <c r="G915" s="56"/>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53"/>
      <c r="F916" s="53"/>
      <c r="G916" s="56"/>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53"/>
      <c r="F917" s="53"/>
      <c r="G917" s="56"/>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53"/>
      <c r="F918" s="53"/>
      <c r="G918" s="56"/>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53"/>
      <c r="F919" s="53"/>
      <c r="G919" s="56"/>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53"/>
      <c r="F920" s="53"/>
      <c r="G920" s="56"/>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53"/>
      <c r="F921" s="53"/>
      <c r="G921" s="56"/>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53"/>
      <c r="F922" s="53"/>
      <c r="G922" s="56"/>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53"/>
      <c r="F923" s="53"/>
      <c r="G923" s="56"/>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53"/>
      <c r="F924" s="53"/>
      <c r="G924" s="56"/>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53"/>
      <c r="F925" s="53"/>
      <c r="G925" s="56"/>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53"/>
      <c r="F926" s="53"/>
      <c r="G926" s="56"/>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53"/>
      <c r="F927" s="53"/>
      <c r="G927" s="56"/>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53"/>
      <c r="F928" s="53"/>
      <c r="G928" s="56"/>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53"/>
      <c r="F929" s="53"/>
      <c r="G929" s="56"/>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53"/>
      <c r="F930" s="53"/>
      <c r="G930" s="56"/>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53"/>
      <c r="F931" s="53"/>
      <c r="G931" s="56"/>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53"/>
      <c r="F932" s="53"/>
      <c r="G932" s="56"/>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53"/>
      <c r="F933" s="53"/>
      <c r="G933" s="56"/>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53"/>
      <c r="F934" s="53"/>
      <c r="G934" s="56"/>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53"/>
      <c r="F935" s="53"/>
      <c r="G935" s="56"/>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53"/>
      <c r="F936" s="53"/>
      <c r="G936" s="56"/>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53"/>
      <c r="F937" s="53"/>
      <c r="G937" s="56"/>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53"/>
      <c r="F938" s="53"/>
      <c r="G938" s="56"/>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53"/>
      <c r="F939" s="53"/>
      <c r="G939" s="56"/>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53"/>
      <c r="F940" s="53"/>
      <c r="G940" s="56"/>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53"/>
      <c r="F941" s="53"/>
      <c r="G941" s="56"/>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53"/>
      <c r="F942" s="53"/>
      <c r="G942" s="56"/>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53"/>
      <c r="F943" s="53"/>
      <c r="G943" s="56"/>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53"/>
      <c r="F944" s="53"/>
      <c r="G944" s="56"/>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53"/>
      <c r="F945" s="53"/>
      <c r="G945" s="56"/>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53"/>
      <c r="F946" s="53"/>
      <c r="G946" s="56"/>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53"/>
      <c r="F947" s="53"/>
      <c r="G947" s="56"/>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53"/>
      <c r="F948" s="53"/>
      <c r="G948" s="56"/>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53"/>
      <c r="F949" s="53"/>
      <c r="G949" s="56"/>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53"/>
      <c r="F950" s="53"/>
      <c r="G950" s="56"/>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53"/>
      <c r="F951" s="53"/>
      <c r="G951" s="56"/>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53"/>
      <c r="F952" s="53"/>
      <c r="G952" s="56"/>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53"/>
      <c r="F953" s="53"/>
      <c r="G953" s="56"/>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53"/>
      <c r="F954" s="53"/>
      <c r="G954" s="56"/>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53"/>
      <c r="F955" s="53"/>
      <c r="G955" s="56"/>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53"/>
      <c r="F956" s="53"/>
      <c r="G956" s="56"/>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53"/>
      <c r="F957" s="53"/>
      <c r="G957" s="56"/>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53"/>
      <c r="F958" s="53"/>
      <c r="G958" s="56"/>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53"/>
      <c r="F959" s="53"/>
      <c r="G959" s="56"/>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53"/>
      <c r="F960" s="53"/>
      <c r="G960" s="56"/>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53"/>
      <c r="F961" s="53"/>
      <c r="G961" s="56"/>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53"/>
      <c r="F962" s="53"/>
      <c r="G962" s="56"/>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53"/>
      <c r="F963" s="53"/>
      <c r="G963" s="56"/>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53"/>
      <c r="F964" s="53"/>
      <c r="G964" s="56"/>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53"/>
      <c r="F965" s="53"/>
      <c r="G965" s="56"/>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53"/>
      <c r="F966" s="53"/>
      <c r="G966" s="56"/>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53"/>
      <c r="F967" s="53"/>
      <c r="G967" s="56"/>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53"/>
      <c r="F968" s="53"/>
      <c r="G968" s="56"/>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53"/>
      <c r="F969" s="53"/>
      <c r="G969" s="56"/>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53"/>
      <c r="F970" s="53"/>
      <c r="G970" s="56"/>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53"/>
      <c r="F971" s="53"/>
      <c r="G971" s="56"/>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53"/>
      <c r="F972" s="53"/>
      <c r="G972" s="56"/>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53"/>
      <c r="F973" s="53"/>
      <c r="G973" s="56"/>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53"/>
      <c r="F974" s="53"/>
      <c r="G974" s="56"/>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53"/>
      <c r="F975" s="53"/>
      <c r="G975" s="56"/>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53"/>
      <c r="F976" s="53"/>
      <c r="G976" s="56"/>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53"/>
      <c r="F977" s="53"/>
      <c r="G977" s="56"/>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53"/>
      <c r="F978" s="53"/>
      <c r="G978" s="56"/>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53"/>
      <c r="F979" s="53"/>
      <c r="G979" s="56"/>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53"/>
      <c r="F980" s="53"/>
      <c r="G980" s="56"/>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53"/>
      <c r="F981" s="53"/>
      <c r="G981" s="56"/>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53"/>
      <c r="F982" s="53"/>
      <c r="G982" s="56"/>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53"/>
      <c r="F983" s="53"/>
      <c r="G983" s="56"/>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53"/>
      <c r="F984" s="53"/>
      <c r="G984" s="56"/>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53"/>
      <c r="F985" s="53"/>
      <c r="G985" s="56"/>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53"/>
      <c r="F986" s="53"/>
      <c r="G986" s="56"/>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53"/>
      <c r="F987" s="53"/>
      <c r="G987" s="56"/>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53"/>
      <c r="F988" s="53"/>
      <c r="G988" s="56"/>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53"/>
      <c r="F989" s="53"/>
      <c r="G989" s="56"/>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53"/>
      <c r="F990" s="53"/>
      <c r="G990" s="56"/>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53"/>
      <c r="F991" s="53"/>
      <c r="G991" s="56"/>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53"/>
      <c r="F992" s="53"/>
      <c r="G992" s="56"/>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53"/>
      <c r="F993" s="53"/>
      <c r="G993" s="56"/>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53"/>
      <c r="F994" s="53"/>
      <c r="G994" s="56"/>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53"/>
      <c r="F995" s="53"/>
      <c r="G995" s="56"/>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53"/>
      <c r="F996" s="53"/>
      <c r="G996" s="56"/>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53"/>
      <c r="F997" s="53"/>
      <c r="G997" s="56"/>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53"/>
      <c r="F998" s="53"/>
      <c r="G998" s="56"/>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53"/>
      <c r="F999" s="53"/>
      <c r="G999" s="56"/>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53"/>
      <c r="F1000" s="53"/>
      <c r="G1000" s="56"/>
      <c r="H1000" s="21"/>
      <c r="I1000" s="21"/>
      <c r="J1000" s="21"/>
      <c r="K1000" s="21"/>
      <c r="L1000" s="21"/>
      <c r="M1000" s="21"/>
      <c r="N1000" s="21"/>
      <c r="O1000" s="21"/>
      <c r="P1000" s="21"/>
      <c r="Q1000" s="21"/>
      <c r="R1000" s="21"/>
      <c r="S1000" s="21"/>
      <c r="T1000" s="21"/>
      <c r="U1000" s="21"/>
      <c r="V1000" s="21"/>
      <c r="W1000" s="21"/>
      <c r="X1000" s="21"/>
      <c r="Y1000" s="21"/>
      <c r="Z1000" s="21"/>
    </row>
  </sheetData>
  <mergeCells count="1">
    <mergeCell ref="A153:K16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54.71"/>
    <col customWidth="1" min="2" max="2" width="9.29"/>
    <col customWidth="1" min="3" max="3" width="9.71"/>
    <col customWidth="1" min="4" max="4" width="10.86"/>
    <col customWidth="1" min="5" max="5" width="11.0"/>
    <col customWidth="1" min="6" max="6" width="8.57"/>
    <col customWidth="1" min="7" max="7" width="9.29"/>
    <col customWidth="1" min="8" max="8" width="8.86"/>
    <col customWidth="1" min="9" max="10" width="9.57"/>
    <col customWidth="1" min="11" max="11" width="8.57"/>
    <col customWidth="1" min="12" max="12" width="9.57"/>
    <col customWidth="1" min="13" max="13" width="9.0"/>
    <col customWidth="1" min="14" max="14" width="11.29"/>
    <col customWidth="1" min="15" max="15" width="10.0"/>
    <col customWidth="1" min="16" max="16" width="11.43"/>
    <col customWidth="1" min="17" max="18" width="12.71"/>
    <col customWidth="1" min="19" max="19" width="9.43"/>
    <col customWidth="1" min="20" max="20" width="16.29"/>
    <col customWidth="1" min="21" max="21" width="8.86"/>
    <col customWidth="1" min="22" max="22" width="9.57"/>
    <col customWidth="1" min="23" max="23" width="9.29"/>
    <col customWidth="1" min="24" max="24" width="9.43"/>
    <col customWidth="1" min="25" max="25" width="12.29"/>
    <col customWidth="1" min="26" max="26" width="8.43"/>
    <col customWidth="1" min="27" max="27" width="8.86"/>
    <col customWidth="1" min="28" max="28" width="12.0"/>
    <col customWidth="1" min="29" max="31" width="8.43"/>
    <col customWidth="1" min="32" max="32" width="9.0"/>
    <col customWidth="1" min="33" max="33" width="10.29"/>
    <col customWidth="1" min="34" max="34" width="8.57"/>
    <col customWidth="1" min="35" max="35" width="11.29"/>
    <col customWidth="1" min="36" max="36" width="10.86"/>
    <col customWidth="1" min="37" max="37" width="9.0"/>
    <col customWidth="1" min="38" max="38" width="8.86"/>
    <col customWidth="1" min="39" max="39" width="9.29"/>
    <col customWidth="1" min="40" max="40" width="8.71"/>
    <col customWidth="1" min="41" max="41" width="11.57"/>
    <col customWidth="1" min="42" max="42" width="8.43"/>
    <col customWidth="1" min="43" max="43" width="13.29"/>
    <col customWidth="1" min="44" max="44" width="8.29"/>
    <col customWidth="1" min="45" max="45" width="12.71"/>
    <col customWidth="1" min="46" max="46" width="9.29"/>
    <col customWidth="1" min="47" max="48" width="8.29"/>
    <col customWidth="1" min="49" max="49" width="10.29"/>
    <col customWidth="1" min="50" max="50" width="10.71"/>
    <col customWidth="1" min="51" max="52" width="8.29"/>
    <col customWidth="1" min="53" max="54" width="9.29"/>
    <col customWidth="1" min="55" max="58" width="8.29"/>
    <col customWidth="1" min="59" max="59" width="10.0"/>
    <col customWidth="1" min="60" max="60" width="8.29"/>
    <col customWidth="1" min="61" max="61" width="9.29"/>
    <col customWidth="1" min="62" max="62" width="9.14"/>
    <col customWidth="1" min="63" max="63" width="8.29"/>
    <col customWidth="1" min="64" max="65" width="12.0"/>
    <col customWidth="1" min="66" max="66" width="11.0"/>
    <col customWidth="1" min="67" max="67" width="9.29"/>
    <col customWidth="1" min="68" max="68" width="8.86"/>
    <col customWidth="1" min="69" max="69" width="9.0"/>
    <col customWidth="1" min="70" max="70" width="9.14"/>
  </cols>
  <sheetData>
    <row r="1" ht="12.0" customHeight="1">
      <c r="A1" s="57" t="s">
        <v>257</v>
      </c>
      <c r="B1" s="58" t="s">
        <v>7</v>
      </c>
      <c r="C1" s="58" t="s">
        <v>7</v>
      </c>
      <c r="D1" s="58" t="s">
        <v>7</v>
      </c>
      <c r="E1" s="58" t="s">
        <v>7</v>
      </c>
      <c r="F1" s="58" t="s">
        <v>11</v>
      </c>
      <c r="G1" s="58" t="s">
        <v>16</v>
      </c>
      <c r="H1" s="58" t="s">
        <v>20</v>
      </c>
      <c r="I1" s="58" t="s">
        <v>24</v>
      </c>
      <c r="J1" s="58" t="s">
        <v>24</v>
      </c>
      <c r="K1" s="58" t="s">
        <v>27</v>
      </c>
      <c r="L1" s="58" t="s">
        <v>39</v>
      </c>
      <c r="M1" s="58" t="s">
        <v>42</v>
      </c>
      <c r="N1" s="58" t="s">
        <v>42</v>
      </c>
      <c r="O1" s="58" t="s">
        <v>226</v>
      </c>
      <c r="P1" s="58" t="s">
        <v>51</v>
      </c>
      <c r="Q1" s="58" t="s">
        <v>52</v>
      </c>
      <c r="R1" s="58" t="s">
        <v>53</v>
      </c>
      <c r="S1" s="58" t="s">
        <v>54</v>
      </c>
      <c r="T1" s="58" t="s">
        <v>57</v>
      </c>
      <c r="U1" s="58" t="s">
        <v>58</v>
      </c>
      <c r="V1" s="58" t="s">
        <v>63</v>
      </c>
      <c r="W1" s="58" t="s">
        <v>66</v>
      </c>
      <c r="X1" s="58" t="s">
        <v>67</v>
      </c>
      <c r="Y1" s="58" t="s">
        <v>71</v>
      </c>
      <c r="Z1" s="58" t="s">
        <v>72</v>
      </c>
      <c r="AA1" s="58" t="s">
        <v>73</v>
      </c>
      <c r="AB1" s="58" t="s">
        <v>84</v>
      </c>
      <c r="AC1" s="58" t="s">
        <v>86</v>
      </c>
      <c r="AD1" s="58" t="s">
        <v>88</v>
      </c>
      <c r="AE1" s="58" t="s">
        <v>90</v>
      </c>
      <c r="AF1" s="58" t="s">
        <v>92</v>
      </c>
      <c r="AG1" s="58" t="s">
        <v>93</v>
      </c>
      <c r="AH1" s="58" t="s">
        <v>94</v>
      </c>
      <c r="AI1" s="58" t="s">
        <v>258</v>
      </c>
      <c r="AJ1" s="58" t="s">
        <v>99</v>
      </c>
      <c r="AK1" s="58" t="s">
        <v>103</v>
      </c>
      <c r="AL1" s="58" t="s">
        <v>103</v>
      </c>
      <c r="AM1" s="58" t="s">
        <v>109</v>
      </c>
      <c r="AN1" s="58" t="s">
        <v>110</v>
      </c>
      <c r="AO1" s="58" t="s">
        <v>114</v>
      </c>
      <c r="AP1" s="58" t="s">
        <v>119</v>
      </c>
      <c r="AQ1" s="58" t="s">
        <v>243</v>
      </c>
      <c r="AR1" s="58" t="s">
        <v>244</v>
      </c>
      <c r="AS1" s="58" t="s">
        <v>128</v>
      </c>
      <c r="AT1" s="58" t="s">
        <v>131</v>
      </c>
      <c r="AU1" s="58" t="s">
        <v>134</v>
      </c>
      <c r="AV1" s="58" t="s">
        <v>136</v>
      </c>
      <c r="AW1" s="58" t="s">
        <v>140</v>
      </c>
      <c r="AX1" s="58" t="s">
        <v>142</v>
      </c>
      <c r="AY1" s="58" t="s">
        <v>145</v>
      </c>
      <c r="AZ1" s="58" t="s">
        <v>147</v>
      </c>
      <c r="BA1" s="58" t="s">
        <v>147</v>
      </c>
      <c r="BB1" s="58" t="s">
        <v>158</v>
      </c>
      <c r="BC1" s="58" t="s">
        <v>162</v>
      </c>
      <c r="BD1" s="58" t="s">
        <v>164</v>
      </c>
      <c r="BE1" s="58" t="s">
        <v>168</v>
      </c>
      <c r="BF1" s="58" t="s">
        <v>168</v>
      </c>
      <c r="BG1" s="58" t="s">
        <v>170</v>
      </c>
      <c r="BH1" s="58" t="s">
        <v>173</v>
      </c>
      <c r="BI1" s="58" t="s">
        <v>177</v>
      </c>
      <c r="BJ1" s="58" t="s">
        <v>181</v>
      </c>
      <c r="BK1" s="58" t="s">
        <v>181</v>
      </c>
      <c r="BL1" s="58" t="s">
        <v>181</v>
      </c>
      <c r="BM1" s="58" t="s">
        <v>183</v>
      </c>
      <c r="BN1" s="58" t="s">
        <v>184</v>
      </c>
      <c r="BO1" s="58" t="s">
        <v>186</v>
      </c>
      <c r="BP1" s="58" t="s">
        <v>189</v>
      </c>
      <c r="BQ1" s="58" t="s">
        <v>190</v>
      </c>
      <c r="BR1" s="59"/>
    </row>
    <row r="2" ht="12.0" customHeight="1">
      <c r="A2" s="60" t="s">
        <v>259</v>
      </c>
      <c r="B2" s="61">
        <v>29281.0</v>
      </c>
      <c r="C2" s="61">
        <v>32843.0</v>
      </c>
      <c r="D2" s="61">
        <v>34700.0</v>
      </c>
      <c r="E2" s="62">
        <v>37196.0</v>
      </c>
      <c r="F2" s="62">
        <v>39692.0</v>
      </c>
      <c r="G2" s="62">
        <v>39692.0</v>
      </c>
      <c r="H2" s="61">
        <v>34639.0</v>
      </c>
      <c r="I2" s="61">
        <v>32905.0</v>
      </c>
      <c r="J2" s="61">
        <v>34669.0</v>
      </c>
      <c r="K2" s="61">
        <v>35065.0</v>
      </c>
      <c r="L2" s="61">
        <v>29891.0</v>
      </c>
      <c r="M2" s="61">
        <v>30133.0</v>
      </c>
      <c r="N2" s="61">
        <v>35947.0</v>
      </c>
      <c r="O2" s="61" t="s">
        <v>260</v>
      </c>
      <c r="P2" s="61">
        <v>35855.0</v>
      </c>
      <c r="Q2" s="62">
        <v>35217.0</v>
      </c>
      <c r="R2" s="62">
        <v>40695.0</v>
      </c>
      <c r="S2" s="62">
        <v>39692.0</v>
      </c>
      <c r="T2" s="61">
        <v>37712.0</v>
      </c>
      <c r="U2" s="62">
        <v>36008.0</v>
      </c>
      <c r="V2" s="61">
        <v>33909.0</v>
      </c>
      <c r="W2" s="61">
        <v>33482.0</v>
      </c>
      <c r="X2" s="62">
        <v>39692.0</v>
      </c>
      <c r="Y2" s="62">
        <v>39692.0</v>
      </c>
      <c r="Z2" s="62">
        <v>29952.0</v>
      </c>
      <c r="AA2" s="62">
        <v>39692.0</v>
      </c>
      <c r="AB2" s="62">
        <v>39692.0</v>
      </c>
      <c r="AC2" s="62">
        <v>39692.0</v>
      </c>
      <c r="AD2" s="61">
        <v>35735.0</v>
      </c>
      <c r="AE2" s="62">
        <v>39692.0</v>
      </c>
      <c r="AF2" s="62">
        <v>39692.0</v>
      </c>
      <c r="AG2" s="61">
        <v>35400.0</v>
      </c>
      <c r="AH2" s="61">
        <v>35735.0</v>
      </c>
      <c r="AI2" s="62">
        <v>39692.0</v>
      </c>
      <c r="AJ2" s="61">
        <v>35643.0</v>
      </c>
      <c r="AK2" s="61">
        <v>34790.0</v>
      </c>
      <c r="AL2" s="62">
        <v>39692.0</v>
      </c>
      <c r="AM2" s="61">
        <v>35034.0</v>
      </c>
      <c r="AN2" s="62">
        <v>39692.0</v>
      </c>
      <c r="AO2" s="61">
        <v>35612.0</v>
      </c>
      <c r="AP2" s="61">
        <v>34669.0</v>
      </c>
      <c r="AQ2" s="61">
        <v>41944.0</v>
      </c>
      <c r="AR2" s="62">
        <v>39692.0</v>
      </c>
      <c r="AS2" s="62">
        <v>39692.0</v>
      </c>
      <c r="AT2" s="62">
        <v>36739.0</v>
      </c>
      <c r="AU2" s="62">
        <v>40026.0</v>
      </c>
      <c r="AV2" s="62">
        <v>33512.0</v>
      </c>
      <c r="AW2" s="61">
        <v>34820.0</v>
      </c>
      <c r="AX2" s="61">
        <v>35612.0</v>
      </c>
      <c r="AY2" s="62">
        <v>39692.0</v>
      </c>
      <c r="AZ2" s="61">
        <v>36008.0</v>
      </c>
      <c r="BA2" s="62">
        <v>39692.0</v>
      </c>
      <c r="BB2" s="62">
        <v>39692.0</v>
      </c>
      <c r="BC2" s="62">
        <v>39692.0</v>
      </c>
      <c r="BD2" s="63">
        <v>1989.0</v>
      </c>
      <c r="BE2" s="62">
        <v>33482.0</v>
      </c>
      <c r="BF2" s="62">
        <v>39692.0</v>
      </c>
      <c r="BG2" s="62">
        <v>39692.0</v>
      </c>
      <c r="BH2" s="61">
        <v>35612.0</v>
      </c>
      <c r="BI2" s="61">
        <v>36831.0</v>
      </c>
      <c r="BJ2" s="62">
        <v>36008.0</v>
      </c>
      <c r="BK2" s="62">
        <v>39692.0</v>
      </c>
      <c r="BL2" s="62">
        <v>41671.0</v>
      </c>
      <c r="BM2" s="62">
        <v>39326.0</v>
      </c>
      <c r="BN2" s="62">
        <v>39417.0</v>
      </c>
      <c r="BO2" s="61">
        <v>37258.0</v>
      </c>
      <c r="BP2" s="61">
        <v>34335.0</v>
      </c>
      <c r="BQ2" s="61">
        <v>35735.0</v>
      </c>
      <c r="BR2" s="8"/>
    </row>
    <row r="3" ht="12.0" customHeight="1">
      <c r="A3" s="60" t="s">
        <v>261</v>
      </c>
      <c r="B3" s="61">
        <f>+B26</f>
        <v>29342</v>
      </c>
      <c r="C3" s="61">
        <v>32843.0</v>
      </c>
      <c r="D3" s="61">
        <v>34700.0</v>
      </c>
      <c r="E3" s="61">
        <v>37226.0</v>
      </c>
      <c r="F3" s="62">
        <f t="shared" ref="F3:G3" si="1">+F21</f>
        <v>39783</v>
      </c>
      <c r="G3" s="62">
        <f t="shared" si="1"/>
        <v>39722</v>
      </c>
      <c r="H3" s="61">
        <v>34639.0</v>
      </c>
      <c r="I3" s="61">
        <v>32905.0</v>
      </c>
      <c r="J3" s="61">
        <v>34669.0</v>
      </c>
      <c r="K3" s="61">
        <v>35217.0</v>
      </c>
      <c r="L3" s="61">
        <v>30376.0</v>
      </c>
      <c r="M3" s="61">
        <v>30133.0</v>
      </c>
      <c r="N3" s="61">
        <v>35947.0</v>
      </c>
      <c r="O3" s="61" t="s">
        <v>260</v>
      </c>
      <c r="P3" s="61">
        <v>35855.0</v>
      </c>
      <c r="Q3" s="62">
        <v>35217.0</v>
      </c>
      <c r="R3" s="62">
        <v>41061.0</v>
      </c>
      <c r="S3" s="62">
        <f>+S21</f>
        <v>39845</v>
      </c>
      <c r="T3" s="61">
        <v>37712.0</v>
      </c>
      <c r="U3" s="61">
        <v>36130.0</v>
      </c>
      <c r="V3" s="61">
        <v>33909.0</v>
      </c>
      <c r="W3" s="61">
        <v>34001.0</v>
      </c>
      <c r="X3" s="62"/>
      <c r="Y3" s="62">
        <v>40087.0</v>
      </c>
      <c r="Z3" s="62">
        <v>29952.0</v>
      </c>
      <c r="AA3" s="62">
        <v>39934.0</v>
      </c>
      <c r="AB3" s="62"/>
      <c r="AC3" s="62">
        <v>39722.0</v>
      </c>
      <c r="AD3" s="61">
        <v>35765.0</v>
      </c>
      <c r="AE3" s="62">
        <v>39814.0</v>
      </c>
      <c r="AF3" s="62"/>
      <c r="AG3" s="64">
        <v>35462.0</v>
      </c>
      <c r="AH3" s="61">
        <v>35735.0</v>
      </c>
      <c r="AI3" s="62">
        <v>40422.0</v>
      </c>
      <c r="AJ3" s="64">
        <v>35735.0</v>
      </c>
      <c r="AK3" s="61">
        <v>34790.0</v>
      </c>
      <c r="AL3" s="62">
        <f>+AL21</f>
        <v>39783</v>
      </c>
      <c r="AM3" s="61">
        <v>35034.0</v>
      </c>
      <c r="AN3" s="62">
        <v>39692.0</v>
      </c>
      <c r="AO3" s="61">
        <v>35855.0</v>
      </c>
      <c r="AP3" s="61">
        <v>34700.0</v>
      </c>
      <c r="AQ3" s="61">
        <v>41944.0</v>
      </c>
      <c r="AR3" s="62">
        <v>40118.0</v>
      </c>
      <c r="AS3" s="62">
        <v>39722.0</v>
      </c>
      <c r="AT3" s="61">
        <v>36892.0</v>
      </c>
      <c r="AU3" s="62">
        <v>40817.0</v>
      </c>
      <c r="AV3" s="61">
        <v>33512.0</v>
      </c>
      <c r="AW3" s="65">
        <v>34881.0</v>
      </c>
      <c r="AX3" s="61">
        <v>35855.0</v>
      </c>
      <c r="AY3" s="62"/>
      <c r="AZ3" s="61">
        <v>36161.0</v>
      </c>
      <c r="BA3" s="61"/>
      <c r="BB3" s="62"/>
      <c r="BC3" s="62">
        <v>40634.0</v>
      </c>
      <c r="BD3" s="63">
        <v>1989.0</v>
      </c>
      <c r="BE3" s="61">
        <v>33848.0</v>
      </c>
      <c r="BF3" s="62"/>
      <c r="BG3" s="62"/>
      <c r="BH3" s="61">
        <v>35704.0</v>
      </c>
      <c r="BI3" s="61">
        <v>36861.0</v>
      </c>
      <c r="BJ3" s="62">
        <v>36130.0</v>
      </c>
      <c r="BK3" s="62">
        <v>39934.0</v>
      </c>
      <c r="BL3" s="62">
        <v>41974.0</v>
      </c>
      <c r="BM3" s="62">
        <v>39753.0</v>
      </c>
      <c r="BN3" s="62">
        <v>39722.0</v>
      </c>
      <c r="BO3" s="65">
        <v>37347.0</v>
      </c>
      <c r="BP3" s="61">
        <v>34335.0</v>
      </c>
      <c r="BQ3" s="61">
        <v>36069.0</v>
      </c>
      <c r="BR3" s="8"/>
    </row>
    <row r="4" ht="13.5" customHeight="1">
      <c r="A4" s="66" t="s">
        <v>262</v>
      </c>
      <c r="B4" s="67" t="s">
        <v>263</v>
      </c>
      <c r="C4" s="67" t="s">
        <v>264</v>
      </c>
      <c r="D4" s="67" t="s">
        <v>265</v>
      </c>
      <c r="E4" s="67" t="s">
        <v>266</v>
      </c>
      <c r="F4" s="67" t="s">
        <v>267</v>
      </c>
      <c r="G4" s="67"/>
      <c r="H4" s="67" t="s">
        <v>268</v>
      </c>
      <c r="I4" s="67" t="s">
        <v>269</v>
      </c>
      <c r="J4" s="67" t="s">
        <v>270</v>
      </c>
      <c r="K4" s="67" t="s">
        <v>271</v>
      </c>
      <c r="L4" s="67" t="s">
        <v>272</v>
      </c>
      <c r="M4" s="67" t="s">
        <v>273</v>
      </c>
      <c r="N4" s="67" t="s">
        <v>274</v>
      </c>
      <c r="O4" s="67" t="s">
        <v>275</v>
      </c>
      <c r="P4" s="67" t="s">
        <v>276</v>
      </c>
      <c r="Q4" s="67" t="s">
        <v>277</v>
      </c>
      <c r="R4" s="67" t="s">
        <v>278</v>
      </c>
      <c r="S4" s="67"/>
      <c r="T4" s="67" t="s">
        <v>279</v>
      </c>
      <c r="U4" s="67" t="s">
        <v>280</v>
      </c>
      <c r="V4" s="67" t="s">
        <v>281</v>
      </c>
      <c r="W4" s="67" t="s">
        <v>282</v>
      </c>
      <c r="X4" s="67"/>
      <c r="Y4" s="67"/>
      <c r="Z4" s="67" t="s">
        <v>283</v>
      </c>
      <c r="AA4" s="67"/>
      <c r="AB4" s="67"/>
      <c r="AC4" s="67"/>
      <c r="AD4" s="67" t="s">
        <v>284</v>
      </c>
      <c r="AE4" s="67"/>
      <c r="AF4" s="67"/>
      <c r="AG4" s="67" t="s">
        <v>285</v>
      </c>
      <c r="AH4" s="67" t="s">
        <v>286</v>
      </c>
      <c r="AI4" s="67"/>
      <c r="AJ4" s="67" t="s">
        <v>287</v>
      </c>
      <c r="AK4" s="67" t="s">
        <v>288</v>
      </c>
      <c r="AL4" s="67"/>
      <c r="AM4" s="68" t="s">
        <v>289</v>
      </c>
      <c r="AN4" s="67"/>
      <c r="AO4" s="67" t="s">
        <v>290</v>
      </c>
      <c r="AP4" s="67" t="s">
        <v>291</v>
      </c>
      <c r="AQ4" s="67" t="s">
        <v>292</v>
      </c>
      <c r="AR4" s="67"/>
      <c r="AS4" s="67"/>
      <c r="AT4" s="67" t="s">
        <v>293</v>
      </c>
      <c r="AU4" s="67"/>
      <c r="AV4" s="67" t="s">
        <v>294</v>
      </c>
      <c r="AW4" s="67" t="s">
        <v>295</v>
      </c>
      <c r="AX4" s="67" t="s">
        <v>296</v>
      </c>
      <c r="AY4" s="69"/>
      <c r="AZ4" s="67" t="s">
        <v>297</v>
      </c>
      <c r="BA4" s="69"/>
      <c r="BB4" s="69"/>
      <c r="BC4" s="69"/>
      <c r="BD4" s="67" t="s">
        <v>298</v>
      </c>
      <c r="BE4" s="67" t="s">
        <v>299</v>
      </c>
      <c r="BF4" s="69"/>
      <c r="BG4" s="69"/>
      <c r="BH4" s="67" t="s">
        <v>300</v>
      </c>
      <c r="BI4" s="67" t="s">
        <v>301</v>
      </c>
      <c r="BJ4" s="67" t="s">
        <v>302</v>
      </c>
      <c r="BK4" s="69"/>
      <c r="BL4" s="69"/>
      <c r="BM4" s="69"/>
      <c r="BN4" s="69"/>
      <c r="BO4" s="67" t="s">
        <v>303</v>
      </c>
      <c r="BP4" s="67" t="s">
        <v>304</v>
      </c>
      <c r="BQ4" s="67" t="s">
        <v>305</v>
      </c>
      <c r="BR4" s="8" t="s">
        <v>267</v>
      </c>
    </row>
    <row r="5" ht="12.0" customHeight="1">
      <c r="A5" s="57" t="s">
        <v>306</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8"/>
    </row>
    <row r="6" ht="12.0" customHeight="1">
      <c r="A6" s="66" t="s">
        <v>307</v>
      </c>
      <c r="B6" s="63" t="s">
        <v>308</v>
      </c>
      <c r="C6" s="63" t="s">
        <v>308</v>
      </c>
      <c r="D6" s="63" t="s">
        <v>308</v>
      </c>
      <c r="E6" s="63" t="s">
        <v>308</v>
      </c>
      <c r="F6" s="63" t="s">
        <v>308</v>
      </c>
      <c r="G6" s="63" t="s">
        <v>308</v>
      </c>
      <c r="H6" s="63" t="s">
        <v>309</v>
      </c>
      <c r="I6" s="63" t="s">
        <v>309</v>
      </c>
      <c r="J6" s="63" t="s">
        <v>309</v>
      </c>
      <c r="K6" s="63" t="s">
        <v>308</v>
      </c>
      <c r="L6" s="63" t="s">
        <v>309</v>
      </c>
      <c r="M6" s="63" t="s">
        <v>309</v>
      </c>
      <c r="N6" s="63" t="s">
        <v>308</v>
      </c>
      <c r="O6" s="63" t="s">
        <v>309</v>
      </c>
      <c r="P6" s="63" t="s">
        <v>308</v>
      </c>
      <c r="Q6" s="63" t="s">
        <v>308</v>
      </c>
      <c r="R6" s="63" t="s">
        <v>308</v>
      </c>
      <c r="S6" s="63" t="s">
        <v>308</v>
      </c>
      <c r="T6" s="63" t="s">
        <v>309</v>
      </c>
      <c r="U6" s="63" t="s">
        <v>308</v>
      </c>
      <c r="V6" s="63" t="s">
        <v>309</v>
      </c>
      <c r="W6" s="63" t="s">
        <v>308</v>
      </c>
      <c r="X6" s="63" t="s">
        <v>308</v>
      </c>
      <c r="Y6" s="63" t="s">
        <v>308</v>
      </c>
      <c r="Z6" s="63" t="s">
        <v>309</v>
      </c>
      <c r="AA6" s="63" t="s">
        <v>308</v>
      </c>
      <c r="AB6" s="63" t="s">
        <v>308</v>
      </c>
      <c r="AC6" s="63" t="s">
        <v>308</v>
      </c>
      <c r="AD6" s="63" t="s">
        <v>309</v>
      </c>
      <c r="AE6" s="63" t="s">
        <v>308</v>
      </c>
      <c r="AF6" s="63" t="s">
        <v>308</v>
      </c>
      <c r="AG6" s="63" t="s">
        <v>309</v>
      </c>
      <c r="AH6" s="63" t="s">
        <v>308</v>
      </c>
      <c r="AI6" s="63" t="s">
        <v>308</v>
      </c>
      <c r="AJ6" s="63" t="s">
        <v>308</v>
      </c>
      <c r="AK6" s="63" t="s">
        <v>309</v>
      </c>
      <c r="AL6" s="63" t="s">
        <v>308</v>
      </c>
      <c r="AM6" s="63" t="s">
        <v>309</v>
      </c>
      <c r="AN6" s="63" t="s">
        <v>308</v>
      </c>
      <c r="AO6" s="63" t="s">
        <v>309</v>
      </c>
      <c r="AP6" s="63" t="s">
        <v>308</v>
      </c>
      <c r="AQ6" s="63" t="s">
        <v>308</v>
      </c>
      <c r="AR6" s="63" t="s">
        <v>308</v>
      </c>
      <c r="AS6" s="63" t="s">
        <v>308</v>
      </c>
      <c r="AT6" s="63" t="s">
        <v>309</v>
      </c>
      <c r="AU6" s="63" t="s">
        <v>308</v>
      </c>
      <c r="AV6" s="63" t="s">
        <v>308</v>
      </c>
      <c r="AW6" s="63" t="s">
        <v>309</v>
      </c>
      <c r="AX6" s="63" t="s">
        <v>308</v>
      </c>
      <c r="AY6" s="63" t="s">
        <v>308</v>
      </c>
      <c r="AZ6" s="63" t="s">
        <v>309</v>
      </c>
      <c r="BA6" s="63" t="s">
        <v>308</v>
      </c>
      <c r="BB6" s="63" t="s">
        <v>308</v>
      </c>
      <c r="BC6" s="63" t="s">
        <v>308</v>
      </c>
      <c r="BD6" s="63" t="s">
        <v>308</v>
      </c>
      <c r="BE6" s="63" t="s">
        <v>309</v>
      </c>
      <c r="BF6" s="63" t="s">
        <v>308</v>
      </c>
      <c r="BG6" s="63" t="s">
        <v>308</v>
      </c>
      <c r="BH6" s="63" t="s">
        <v>309</v>
      </c>
      <c r="BI6" s="63" t="s">
        <v>308</v>
      </c>
      <c r="BJ6" s="63" t="s">
        <v>308</v>
      </c>
      <c r="BK6" s="63" t="s">
        <v>308</v>
      </c>
      <c r="BL6" s="63" t="s">
        <v>308</v>
      </c>
      <c r="BM6" s="63" t="s">
        <v>308</v>
      </c>
      <c r="BN6" s="63" t="s">
        <v>308</v>
      </c>
      <c r="BO6" s="63" t="s">
        <v>308</v>
      </c>
      <c r="BP6" s="63" t="s">
        <v>308</v>
      </c>
      <c r="BQ6" s="63" t="s">
        <v>309</v>
      </c>
      <c r="BR6" s="8"/>
    </row>
    <row r="7" ht="12.0" customHeight="1">
      <c r="A7" s="67" t="s">
        <v>310</v>
      </c>
      <c r="B7" s="63">
        <v>1979.0</v>
      </c>
      <c r="C7" s="63">
        <v>1979.0</v>
      </c>
      <c r="D7" s="63">
        <v>1979.0</v>
      </c>
      <c r="E7" s="63">
        <v>1979.0</v>
      </c>
      <c r="F7" s="63"/>
      <c r="G7" s="63"/>
      <c r="H7" s="63"/>
      <c r="I7" s="63"/>
      <c r="J7" s="63"/>
      <c r="K7" s="63">
        <v>1996.0</v>
      </c>
      <c r="L7" s="63"/>
      <c r="M7" s="63"/>
      <c r="N7" s="63">
        <v>1988.0</v>
      </c>
      <c r="O7" s="63"/>
      <c r="P7" s="63">
        <v>1997.0</v>
      </c>
      <c r="Q7" s="63">
        <v>1994.0</v>
      </c>
      <c r="R7" s="63"/>
      <c r="S7" s="63"/>
      <c r="T7" s="63"/>
      <c r="U7" s="63">
        <v>1998.0</v>
      </c>
      <c r="V7" s="63"/>
      <c r="W7" s="63">
        <v>1969.0</v>
      </c>
      <c r="X7" s="63"/>
      <c r="Y7" s="63"/>
      <c r="Z7" s="63"/>
      <c r="AA7" s="63"/>
      <c r="AB7" s="63"/>
      <c r="AC7" s="63"/>
      <c r="AD7" s="63"/>
      <c r="AE7" s="63"/>
      <c r="AF7" s="63"/>
      <c r="AG7" s="63"/>
      <c r="AH7" s="63">
        <v>1971.0</v>
      </c>
      <c r="AI7" s="63"/>
      <c r="AJ7" s="63">
        <v>1996.0</v>
      </c>
      <c r="AK7" s="63"/>
      <c r="AL7" s="63"/>
      <c r="AM7" s="63"/>
      <c r="AN7" s="63"/>
      <c r="AO7" s="63"/>
      <c r="AP7" s="63">
        <v>1986.0</v>
      </c>
      <c r="AQ7" s="63">
        <v>2004.0</v>
      </c>
      <c r="AR7" s="63"/>
      <c r="AS7" s="63"/>
      <c r="AT7" s="63"/>
      <c r="AU7" s="63"/>
      <c r="AV7" s="63">
        <v>1961.0</v>
      </c>
      <c r="AW7" s="63"/>
      <c r="AX7" s="63">
        <v>1963.0</v>
      </c>
      <c r="AY7" s="63"/>
      <c r="AZ7" s="63"/>
      <c r="BA7" s="63"/>
      <c r="BB7" s="63"/>
      <c r="BC7" s="63"/>
      <c r="BD7" s="63">
        <v>1987.0</v>
      </c>
      <c r="BE7" s="63"/>
      <c r="BF7" s="63"/>
      <c r="BG7" s="63"/>
      <c r="BH7" s="63"/>
      <c r="BI7" s="63">
        <v>1983.0</v>
      </c>
      <c r="BJ7" s="63">
        <v>1998.0</v>
      </c>
      <c r="BK7" s="63"/>
      <c r="BL7" s="63"/>
      <c r="BM7" s="63"/>
      <c r="BN7" s="63"/>
      <c r="BO7" s="63">
        <v>2002.0</v>
      </c>
      <c r="BP7" s="63">
        <v>1985.0</v>
      </c>
      <c r="BQ7" s="63"/>
      <c r="BR7" s="8"/>
    </row>
    <row r="8" ht="12.0" customHeight="1">
      <c r="A8" s="67" t="s">
        <v>311</v>
      </c>
      <c r="B8" s="63"/>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8"/>
    </row>
    <row r="9" ht="12.0" customHeight="1">
      <c r="A9" s="67" t="s">
        <v>312</v>
      </c>
      <c r="B9" s="70" t="s">
        <v>313</v>
      </c>
      <c r="C9" s="70" t="s">
        <v>313</v>
      </c>
      <c r="D9" s="70">
        <v>30000.0</v>
      </c>
      <c r="E9" s="70">
        <v>30000.0</v>
      </c>
      <c r="F9" s="70">
        <v>20000.0</v>
      </c>
      <c r="G9" s="70">
        <v>20000.0</v>
      </c>
      <c r="H9" s="70">
        <v>0.0</v>
      </c>
      <c r="I9" s="70">
        <v>0.0</v>
      </c>
      <c r="J9" s="70">
        <v>0.0</v>
      </c>
      <c r="K9" s="70">
        <v>5000.0</v>
      </c>
      <c r="L9" s="70">
        <v>0.0</v>
      </c>
      <c r="M9" s="70">
        <v>0.0</v>
      </c>
      <c r="N9" s="70">
        <v>1.0E7</v>
      </c>
      <c r="O9" s="70">
        <v>0.0</v>
      </c>
      <c r="P9" s="70">
        <v>50000.0</v>
      </c>
      <c r="Q9" s="70">
        <v>100000.0</v>
      </c>
      <c r="R9" s="70">
        <v>100000.0</v>
      </c>
      <c r="S9" s="70">
        <v>300000.0</v>
      </c>
      <c r="T9" s="70">
        <v>0.0</v>
      </c>
      <c r="U9" s="70">
        <v>7416.0</v>
      </c>
      <c r="V9" s="70">
        <v>0.0</v>
      </c>
      <c r="W9" s="70" t="s">
        <v>313</v>
      </c>
      <c r="X9" s="70">
        <v>70000.0</v>
      </c>
      <c r="Y9" s="70">
        <v>20000.0</v>
      </c>
      <c r="Z9" s="70">
        <v>0.0</v>
      </c>
      <c r="AA9" s="70">
        <v>20000.0</v>
      </c>
      <c r="AB9" s="70">
        <v>6000000.0</v>
      </c>
      <c r="AC9" s="70" t="s">
        <v>314</v>
      </c>
      <c r="AD9" s="70">
        <v>0.0</v>
      </c>
      <c r="AE9" s="70">
        <v>20000.0</v>
      </c>
      <c r="AF9" s="70">
        <v>103291.0</v>
      </c>
      <c r="AG9" s="70">
        <v>0.0</v>
      </c>
      <c r="AH9" s="70" t="s">
        <v>313</v>
      </c>
      <c r="AI9" s="70">
        <v>700000.0</v>
      </c>
      <c r="AJ9" s="70">
        <v>2.0E7</v>
      </c>
      <c r="AK9" s="70">
        <v>0.0</v>
      </c>
      <c r="AL9" s="70">
        <v>20000.0</v>
      </c>
      <c r="AM9" s="70">
        <v>0.0</v>
      </c>
      <c r="AN9" s="70">
        <v>20000.0</v>
      </c>
      <c r="AO9" s="70">
        <v>0.0</v>
      </c>
      <c r="AP9" s="70" t="s">
        <v>313</v>
      </c>
      <c r="AQ9" s="70">
        <v>6000.0</v>
      </c>
      <c r="AR9" s="63">
        <v>0.0</v>
      </c>
      <c r="AS9" s="70">
        <v>20000.0</v>
      </c>
      <c r="AT9" s="70">
        <v>0.0</v>
      </c>
      <c r="AU9" s="70"/>
      <c r="AV9" s="70" t="s">
        <v>313</v>
      </c>
      <c r="AW9" s="70">
        <v>0.0</v>
      </c>
      <c r="AX9" s="70">
        <v>10000.0</v>
      </c>
      <c r="AY9" s="70">
        <v>25000.0</v>
      </c>
      <c r="AZ9" s="70">
        <v>0.0</v>
      </c>
      <c r="BA9" s="70">
        <v>400000.0</v>
      </c>
      <c r="BB9" s="70">
        <v>22000.0</v>
      </c>
      <c r="BC9" s="70">
        <v>20000.0</v>
      </c>
      <c r="BD9" s="70">
        <v>100000.0</v>
      </c>
      <c r="BE9" s="70">
        <v>0.0</v>
      </c>
      <c r="BF9" s="70">
        <v>250000.0</v>
      </c>
      <c r="BG9" s="70">
        <v>30000.0</v>
      </c>
      <c r="BH9" s="70">
        <v>0.0</v>
      </c>
      <c r="BI9" s="70" t="s">
        <v>313</v>
      </c>
      <c r="BJ9" s="70">
        <v>1200.0</v>
      </c>
      <c r="BK9" s="70">
        <v>50000.0</v>
      </c>
      <c r="BL9" s="70">
        <v>200000.0</v>
      </c>
      <c r="BM9" s="70">
        <v>35000.0</v>
      </c>
      <c r="BN9" s="70">
        <v>100000.0</v>
      </c>
      <c r="BO9" s="70">
        <v>100000.0</v>
      </c>
      <c r="BP9" s="70">
        <v>250000.0</v>
      </c>
      <c r="BQ9" s="70">
        <v>0.0</v>
      </c>
      <c r="BR9" s="8"/>
    </row>
    <row r="10" ht="12.0" customHeight="1">
      <c r="A10" s="67" t="s">
        <v>315</v>
      </c>
      <c r="B10" s="71"/>
      <c r="C10" s="71"/>
      <c r="D10" s="71">
        <v>4.04</v>
      </c>
      <c r="E10" s="71">
        <v>4.19</v>
      </c>
      <c r="F10" s="71">
        <v>0.6103292208426112</v>
      </c>
      <c r="G10" s="71">
        <v>0.6342092304937553</v>
      </c>
      <c r="H10" s="71">
        <v>0.0</v>
      </c>
      <c r="I10" s="71">
        <v>0.0</v>
      </c>
      <c r="J10" s="71">
        <v>0.0</v>
      </c>
      <c r="K10" s="71">
        <v>2.37</v>
      </c>
      <c r="L10" s="71">
        <v>0.0</v>
      </c>
      <c r="M10" s="71">
        <v>0.0</v>
      </c>
      <c r="N10" s="71">
        <v>3.29</v>
      </c>
      <c r="O10" s="71">
        <v>0.0</v>
      </c>
      <c r="P10" s="71">
        <v>1.8</v>
      </c>
      <c r="Q10" s="71">
        <v>0.75</v>
      </c>
      <c r="R10" s="71">
        <f>100000/22606</f>
        <v>4.423604353</v>
      </c>
      <c r="S10" s="71">
        <v>0.9686423422912115</v>
      </c>
      <c r="T10" s="71">
        <v>0.0</v>
      </c>
      <c r="U10" s="71">
        <v>3.81</v>
      </c>
      <c r="V10" s="71">
        <v>0.0</v>
      </c>
      <c r="W10" s="71"/>
      <c r="X10" s="71">
        <v>2.287621527960981</v>
      </c>
      <c r="Y10" s="71">
        <v>0.676421410952146</v>
      </c>
      <c r="Z10" s="71">
        <v>0.0</v>
      </c>
      <c r="AA10" s="71">
        <v>0.9885984975622034</v>
      </c>
      <c r="AB10" s="71">
        <v>2.36797837312135</v>
      </c>
      <c r="AC10" s="71"/>
      <c r="AD10" s="71">
        <v>0.0</v>
      </c>
      <c r="AE10" s="71">
        <v>0.4592257301322403</v>
      </c>
      <c r="AF10" s="71">
        <v>3.966513161963889</v>
      </c>
      <c r="AG10" s="71">
        <v>0.0</v>
      </c>
      <c r="AH10" s="71"/>
      <c r="AI10" s="71">
        <v>0.8435107986945161</v>
      </c>
      <c r="AJ10" s="71">
        <v>2.18</v>
      </c>
      <c r="AK10" s="71">
        <v>0.0</v>
      </c>
      <c r="AL10" s="71">
        <v>3.0800125301908463</v>
      </c>
      <c r="AM10" s="71">
        <v>0.0</v>
      </c>
      <c r="AN10" s="71">
        <v>0.2562299483795889</v>
      </c>
      <c r="AO10" s="71">
        <v>0.0</v>
      </c>
      <c r="AP10" s="71"/>
      <c r="AQ10" s="71">
        <v>0.21</v>
      </c>
      <c r="AR10" s="71">
        <v>0.0</v>
      </c>
      <c r="AS10" s="71">
        <v>0.5761467580152779</v>
      </c>
      <c r="AT10" s="71">
        <v>0.0</v>
      </c>
      <c r="AU10" s="71">
        <v>0.0</v>
      </c>
      <c r="AV10" s="71"/>
      <c r="AW10" s="71">
        <v>0.0</v>
      </c>
      <c r="AX10" s="71">
        <v>3.22</v>
      </c>
      <c r="AY10" s="71">
        <v>1.5717262663197757</v>
      </c>
      <c r="AZ10" s="71">
        <v>0.0</v>
      </c>
      <c r="BA10" s="71">
        <v>1.709601545499219</v>
      </c>
      <c r="BB10" s="71">
        <v>1.2843779537580542</v>
      </c>
      <c r="BC10" s="71">
        <v>0.8526202350080268</v>
      </c>
      <c r="BD10" s="71">
        <v>7.18</v>
      </c>
      <c r="BE10" s="71">
        <v>0.0</v>
      </c>
      <c r="BF10" s="71">
        <v>0.7316090310420478</v>
      </c>
      <c r="BG10" s="71">
        <v>0.43472127688249085</v>
      </c>
      <c r="BH10" s="71">
        <v>0.0</v>
      </c>
      <c r="BI10" s="71"/>
      <c r="BJ10" s="71">
        <v>0.59</v>
      </c>
      <c r="BK10" s="71">
        <v>3.2265401377212855</v>
      </c>
      <c r="BL10" s="71">
        <v>6.19</v>
      </c>
      <c r="BM10" s="71">
        <v>1.5999242228247956</v>
      </c>
      <c r="BN10" s="71">
        <v>2.238966122283709</v>
      </c>
      <c r="BO10" s="71">
        <v>1.4</v>
      </c>
      <c r="BP10" s="71">
        <v>0.96</v>
      </c>
      <c r="BQ10" s="71">
        <v>0.0</v>
      </c>
      <c r="BR10" s="8"/>
    </row>
    <row r="11" ht="12.0" customHeight="1">
      <c r="A11" s="57" t="s">
        <v>316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8"/>
    </row>
    <row r="12" ht="12.0" customHeight="1">
      <c r="A12" s="72" t="s">
        <v>317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8"/>
    </row>
    <row r="13" ht="12.0" customHeight="1">
      <c r="A13" s="72" t="s">
        <v>318</v>
      </c>
      <c r="B13" s="63" t="s">
        <v>309</v>
      </c>
      <c r="C13" s="63" t="s">
        <v>308</v>
      </c>
      <c r="D13" s="63" t="s">
        <v>309</v>
      </c>
      <c r="E13" s="63" t="s">
        <v>308</v>
      </c>
      <c r="F13" s="63" t="s">
        <v>309</v>
      </c>
      <c r="G13" s="63" t="s">
        <v>309</v>
      </c>
      <c r="H13" s="63" t="s">
        <v>309</v>
      </c>
      <c r="I13" s="63" t="s">
        <v>308</v>
      </c>
      <c r="J13" s="63" t="s">
        <v>309</v>
      </c>
      <c r="K13" s="63" t="s">
        <v>309</v>
      </c>
      <c r="L13" s="63" t="s">
        <v>309</v>
      </c>
      <c r="M13" s="63" t="s">
        <v>309</v>
      </c>
      <c r="N13" s="63" t="s">
        <v>309</v>
      </c>
      <c r="O13" s="63" t="s">
        <v>309</v>
      </c>
      <c r="P13" s="63" t="s">
        <v>309</v>
      </c>
      <c r="Q13" s="63" t="s">
        <v>309</v>
      </c>
      <c r="R13" s="63" t="s">
        <v>308</v>
      </c>
      <c r="S13" s="63" t="s">
        <v>309</v>
      </c>
      <c r="T13" s="63" t="s">
        <v>309</v>
      </c>
      <c r="U13" s="63" t="s">
        <v>308</v>
      </c>
      <c r="V13" s="63" t="s">
        <v>309</v>
      </c>
      <c r="W13" s="63" t="s">
        <v>309</v>
      </c>
      <c r="X13" s="63" t="s">
        <v>309</v>
      </c>
      <c r="Y13" s="63" t="s">
        <v>309</v>
      </c>
      <c r="Z13" s="63" t="s">
        <v>309</v>
      </c>
      <c r="AA13" s="63" t="s">
        <v>308</v>
      </c>
      <c r="AB13" s="63" t="s">
        <v>309</v>
      </c>
      <c r="AC13" s="63" t="s">
        <v>309</v>
      </c>
      <c r="AD13" s="63" t="s">
        <v>309</v>
      </c>
      <c r="AE13" s="63" t="s">
        <v>309</v>
      </c>
      <c r="AF13" s="63" t="s">
        <v>309</v>
      </c>
      <c r="AG13" s="63" t="s">
        <v>309</v>
      </c>
      <c r="AH13" s="63" t="s">
        <v>309</v>
      </c>
      <c r="AI13" s="63" t="s">
        <v>309</v>
      </c>
      <c r="AJ13" s="63" t="s">
        <v>309</v>
      </c>
      <c r="AK13" s="63" t="s">
        <v>309</v>
      </c>
      <c r="AL13" s="63" t="s">
        <v>308</v>
      </c>
      <c r="AM13" s="63" t="s">
        <v>309</v>
      </c>
      <c r="AN13" s="63" t="s">
        <v>309</v>
      </c>
      <c r="AO13" s="63" t="s">
        <v>309</v>
      </c>
      <c r="AP13" s="63" t="s">
        <v>309</v>
      </c>
      <c r="AQ13" s="63" t="s">
        <v>309</v>
      </c>
      <c r="AR13" s="63" t="s">
        <v>309</v>
      </c>
      <c r="AS13" s="63" t="s">
        <v>309</v>
      </c>
      <c r="AT13" s="63" t="s">
        <v>309</v>
      </c>
      <c r="AU13" s="63" t="s">
        <v>309</v>
      </c>
      <c r="AV13" s="63" t="s">
        <v>309</v>
      </c>
      <c r="AW13" s="63" t="s">
        <v>309</v>
      </c>
      <c r="AX13" s="63" t="s">
        <v>309</v>
      </c>
      <c r="AY13" s="63" t="s">
        <v>309</v>
      </c>
      <c r="AZ13" s="63" t="s">
        <v>309</v>
      </c>
      <c r="BA13" s="63" t="s">
        <v>309</v>
      </c>
      <c r="BB13" s="63" t="s">
        <v>309</v>
      </c>
      <c r="BC13" s="63" t="s">
        <v>309</v>
      </c>
      <c r="BD13" s="63" t="s">
        <v>309</v>
      </c>
      <c r="BE13" s="63" t="s">
        <v>309</v>
      </c>
      <c r="BF13" s="63" t="s">
        <v>309</v>
      </c>
      <c r="BG13" s="63" t="s">
        <v>309</v>
      </c>
      <c r="BH13" s="63" t="s">
        <v>309</v>
      </c>
      <c r="BI13" s="63" t="s">
        <v>309</v>
      </c>
      <c r="BJ13" s="63" t="s">
        <v>309</v>
      </c>
      <c r="BK13" s="63" t="s">
        <v>309</v>
      </c>
      <c r="BL13" s="63" t="s">
        <v>308</v>
      </c>
      <c r="BM13" s="63" t="s">
        <v>309</v>
      </c>
      <c r="BN13" s="63" t="s">
        <v>309</v>
      </c>
      <c r="BO13" s="63" t="s">
        <v>308</v>
      </c>
      <c r="BP13" s="63" t="s">
        <v>309</v>
      </c>
      <c r="BQ13" s="63" t="s">
        <v>309</v>
      </c>
      <c r="BR13" s="8"/>
    </row>
    <row r="14" ht="12.0" customHeight="1">
      <c r="A14" s="67" t="s">
        <v>319</v>
      </c>
      <c r="B14" s="63"/>
      <c r="C14" s="73">
        <v>32870.0</v>
      </c>
      <c r="D14" s="74"/>
      <c r="E14" s="73">
        <v>37228.0</v>
      </c>
      <c r="F14" s="63"/>
      <c r="G14" s="63"/>
      <c r="H14" s="74"/>
      <c r="I14" s="73">
        <v>32933.0</v>
      </c>
      <c r="J14" s="74"/>
      <c r="K14" s="74"/>
      <c r="L14" s="74"/>
      <c r="M14" s="74"/>
      <c r="N14" s="74"/>
      <c r="O14" s="74"/>
      <c r="P14" s="74"/>
      <c r="Q14" s="74"/>
      <c r="R14" s="73">
        <v>41361.0</v>
      </c>
      <c r="S14" s="63"/>
      <c r="T14" s="74"/>
      <c r="U14" s="73">
        <v>36231.0</v>
      </c>
      <c r="V14" s="74"/>
      <c r="W14" s="74"/>
      <c r="X14" s="63"/>
      <c r="Y14" s="63"/>
      <c r="Z14" s="74"/>
      <c r="AA14" s="73">
        <v>42205.0</v>
      </c>
      <c r="AB14" s="63"/>
      <c r="AC14" s="63"/>
      <c r="AD14" s="74"/>
      <c r="AE14" s="63"/>
      <c r="AF14" s="63"/>
      <c r="AG14" s="74"/>
      <c r="AH14" s="74"/>
      <c r="AI14" s="63"/>
      <c r="AJ14" s="74"/>
      <c r="AK14" s="74"/>
      <c r="AL14" s="73">
        <v>39783.0</v>
      </c>
      <c r="AM14" s="74"/>
      <c r="AN14" s="63"/>
      <c r="AO14" s="74"/>
      <c r="AP14" s="74"/>
      <c r="AQ14" s="74"/>
      <c r="AR14" s="63"/>
      <c r="AS14" s="63"/>
      <c r="AT14" s="74"/>
      <c r="AU14" s="63"/>
      <c r="AV14" s="74"/>
      <c r="AW14" s="74"/>
      <c r="AX14" s="74"/>
      <c r="AY14" s="63"/>
      <c r="AZ14" s="74"/>
      <c r="BA14" s="63"/>
      <c r="BB14" s="63"/>
      <c r="BC14" s="63"/>
      <c r="BD14" s="74"/>
      <c r="BE14" s="74"/>
      <c r="BF14" s="63"/>
      <c r="BG14" s="63"/>
      <c r="BH14" s="74"/>
      <c r="BI14" s="74"/>
      <c r="BJ14" s="74"/>
      <c r="BK14" s="63"/>
      <c r="BL14" s="62">
        <v>41699.0</v>
      </c>
      <c r="BM14" s="63"/>
      <c r="BN14" s="63"/>
      <c r="BO14" s="73">
        <v>37473.0</v>
      </c>
      <c r="BP14" s="74"/>
      <c r="BQ14" s="74"/>
      <c r="BR14" s="8"/>
    </row>
    <row r="15" ht="12.0" customHeight="1">
      <c r="A15" s="67" t="s">
        <v>320</v>
      </c>
      <c r="B15" s="63"/>
      <c r="C15" s="63">
        <v>120.0</v>
      </c>
      <c r="D15" s="63"/>
      <c r="E15" s="63">
        <v>12.0</v>
      </c>
      <c r="F15" s="63"/>
      <c r="G15" s="63"/>
      <c r="H15" s="63"/>
      <c r="I15" s="63">
        <v>29.0</v>
      </c>
      <c r="J15" s="63"/>
      <c r="K15" s="63"/>
      <c r="L15" s="63"/>
      <c r="M15" s="63"/>
      <c r="N15" s="63"/>
      <c r="O15" s="63"/>
      <c r="P15" s="63"/>
      <c r="Q15" s="63"/>
      <c r="R15" s="63">
        <v>14.0</v>
      </c>
      <c r="S15" s="63"/>
      <c r="T15" s="63"/>
      <c r="U15" s="63">
        <v>6.0</v>
      </c>
      <c r="V15" s="63"/>
      <c r="W15" s="63"/>
      <c r="X15" s="63"/>
      <c r="Y15" s="63"/>
      <c r="Z15" s="63"/>
      <c r="AA15" s="73" t="s">
        <v>321</v>
      </c>
      <c r="AB15" s="63"/>
      <c r="AC15" s="63"/>
      <c r="AD15" s="63"/>
      <c r="AE15" s="63"/>
      <c r="AF15" s="63"/>
      <c r="AG15" s="63"/>
      <c r="AH15" s="63"/>
      <c r="AI15" s="63"/>
      <c r="AJ15" s="63"/>
      <c r="AK15" s="63"/>
      <c r="AL15" s="63">
        <v>6.0</v>
      </c>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v>40.0</v>
      </c>
      <c r="BM15" s="63"/>
      <c r="BN15" s="63"/>
      <c r="BO15" s="63">
        <v>36.0</v>
      </c>
      <c r="BP15" s="63"/>
      <c r="BQ15" s="63"/>
      <c r="BR15" s="8"/>
    </row>
    <row r="16" ht="12.0" customHeight="1">
      <c r="A16" s="67" t="s">
        <v>322</v>
      </c>
      <c r="B16" s="63"/>
      <c r="C16" s="63" t="s">
        <v>308</v>
      </c>
      <c r="D16" s="63"/>
      <c r="E16" s="63" t="s">
        <v>309</v>
      </c>
      <c r="F16" s="63"/>
      <c r="G16" s="63"/>
      <c r="H16" s="63"/>
      <c r="I16" s="63" t="s">
        <v>309</v>
      </c>
      <c r="J16" s="63"/>
      <c r="K16" s="63"/>
      <c r="L16" s="63"/>
      <c r="M16" s="63"/>
      <c r="N16" s="63"/>
      <c r="O16" s="63"/>
      <c r="P16" s="63"/>
      <c r="Q16" s="63"/>
      <c r="R16" s="63" t="s">
        <v>309</v>
      </c>
      <c r="S16" s="63"/>
      <c r="T16" s="63"/>
      <c r="U16" s="63" t="s">
        <v>309</v>
      </c>
      <c r="V16" s="63"/>
      <c r="W16" s="63"/>
      <c r="X16" s="63"/>
      <c r="Y16" s="63"/>
      <c r="Z16" s="63"/>
      <c r="AA16" s="73" t="s">
        <v>323</v>
      </c>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t="s">
        <v>324</v>
      </c>
      <c r="BM16" s="63"/>
      <c r="BN16" s="63"/>
      <c r="BO16" s="63" t="s">
        <v>308</v>
      </c>
      <c r="BP16" s="63"/>
      <c r="BQ16" s="63"/>
      <c r="BR16" s="8"/>
    </row>
    <row r="17" ht="12.0" customHeight="1">
      <c r="A17" s="72" t="s">
        <v>325</v>
      </c>
      <c r="B17" s="63" t="s">
        <v>309</v>
      </c>
      <c r="C17" s="63" t="s">
        <v>308</v>
      </c>
      <c r="D17" s="63" t="s">
        <v>309</v>
      </c>
      <c r="E17" s="63" t="s">
        <v>308</v>
      </c>
      <c r="F17" s="63" t="s">
        <v>309</v>
      </c>
      <c r="G17" s="63" t="s">
        <v>309</v>
      </c>
      <c r="H17" s="63" t="s">
        <v>309</v>
      </c>
      <c r="I17" s="63" t="s">
        <v>309</v>
      </c>
      <c r="J17" s="63" t="s">
        <v>309</v>
      </c>
      <c r="K17" s="63" t="s">
        <v>309</v>
      </c>
      <c r="L17" s="63" t="s">
        <v>309</v>
      </c>
      <c r="M17" s="63" t="s">
        <v>309</v>
      </c>
      <c r="N17" s="63" t="s">
        <v>309</v>
      </c>
      <c r="O17" s="63" t="s">
        <v>309</v>
      </c>
      <c r="P17" s="63" t="s">
        <v>309</v>
      </c>
      <c r="Q17" s="63" t="s">
        <v>309</v>
      </c>
      <c r="R17" s="63" t="s">
        <v>308</v>
      </c>
      <c r="S17" s="63" t="s">
        <v>309</v>
      </c>
      <c r="T17" s="63" t="s">
        <v>309</v>
      </c>
      <c r="U17" s="63" t="s">
        <v>308</v>
      </c>
      <c r="V17" s="63" t="s">
        <v>309</v>
      </c>
      <c r="W17" s="63" t="s">
        <v>309</v>
      </c>
      <c r="X17" s="63" t="s">
        <v>309</v>
      </c>
      <c r="Y17" s="63" t="s">
        <v>309</v>
      </c>
      <c r="Z17" s="63" t="s">
        <v>309</v>
      </c>
      <c r="AA17" s="63" t="s">
        <v>308</v>
      </c>
      <c r="AB17" s="63" t="s">
        <v>309</v>
      </c>
      <c r="AC17" s="63" t="s">
        <v>309</v>
      </c>
      <c r="AD17" s="63" t="s">
        <v>309</v>
      </c>
      <c r="AE17" s="63" t="s">
        <v>309</v>
      </c>
      <c r="AF17" s="63" t="s">
        <v>309</v>
      </c>
      <c r="AG17" s="63" t="s">
        <v>309</v>
      </c>
      <c r="AH17" s="63" t="s">
        <v>309</v>
      </c>
      <c r="AI17" s="63" t="s">
        <v>309</v>
      </c>
      <c r="AJ17" s="63" t="s">
        <v>309</v>
      </c>
      <c r="AK17" s="63" t="s">
        <v>309</v>
      </c>
      <c r="AL17" s="63" t="s">
        <v>309</v>
      </c>
      <c r="AM17" s="63" t="s">
        <v>309</v>
      </c>
      <c r="AN17" s="63" t="s">
        <v>309</v>
      </c>
      <c r="AO17" s="63" t="s">
        <v>309</v>
      </c>
      <c r="AP17" s="63" t="s">
        <v>309</v>
      </c>
      <c r="AQ17" s="63" t="s">
        <v>309</v>
      </c>
      <c r="AR17" s="63" t="s">
        <v>309</v>
      </c>
      <c r="AS17" s="63" t="s">
        <v>309</v>
      </c>
      <c r="AT17" s="63" t="s">
        <v>309</v>
      </c>
      <c r="AU17" s="63" t="s">
        <v>309</v>
      </c>
      <c r="AV17" s="63" t="s">
        <v>309</v>
      </c>
      <c r="AW17" s="63" t="s">
        <v>309</v>
      </c>
      <c r="AX17" s="63" t="s">
        <v>309</v>
      </c>
      <c r="AY17" s="63" t="s">
        <v>309</v>
      </c>
      <c r="AZ17" s="63" t="s">
        <v>309</v>
      </c>
      <c r="BA17" s="63" t="s">
        <v>309</v>
      </c>
      <c r="BB17" s="63" t="s">
        <v>309</v>
      </c>
      <c r="BC17" s="63" t="s">
        <v>309</v>
      </c>
      <c r="BD17" s="63" t="s">
        <v>309</v>
      </c>
      <c r="BE17" s="63" t="s">
        <v>309</v>
      </c>
      <c r="BF17" s="63" t="s">
        <v>309</v>
      </c>
      <c r="BG17" s="63" t="s">
        <v>309</v>
      </c>
      <c r="BH17" s="63" t="s">
        <v>309</v>
      </c>
      <c r="BI17" s="63" t="s">
        <v>309</v>
      </c>
      <c r="BJ17" s="63" t="s">
        <v>309</v>
      </c>
      <c r="BK17" s="63" t="s">
        <v>309</v>
      </c>
      <c r="BL17" s="63" t="s">
        <v>309</v>
      </c>
      <c r="BM17" s="63" t="s">
        <v>309</v>
      </c>
      <c r="BN17" s="63" t="s">
        <v>309</v>
      </c>
      <c r="BO17" s="63" t="s">
        <v>308</v>
      </c>
      <c r="BP17" s="63" t="s">
        <v>309</v>
      </c>
      <c r="BQ17" s="63" t="s">
        <v>309</v>
      </c>
      <c r="BR17" s="8"/>
    </row>
    <row r="18" ht="12.0" customHeight="1">
      <c r="A18" s="67" t="s">
        <v>319</v>
      </c>
      <c r="B18" s="63"/>
      <c r="C18" s="73">
        <v>32874.0</v>
      </c>
      <c r="D18" s="74"/>
      <c r="E18" s="73">
        <v>37256.0</v>
      </c>
      <c r="F18" s="63"/>
      <c r="G18" s="63"/>
      <c r="H18" s="74"/>
      <c r="I18" s="74"/>
      <c r="J18" s="74"/>
      <c r="K18" s="74"/>
      <c r="L18" s="74"/>
      <c r="M18" s="74"/>
      <c r="N18" s="74"/>
      <c r="O18" s="74"/>
      <c r="P18" s="74"/>
      <c r="Q18" s="74"/>
      <c r="R18" s="73">
        <v>41351.0</v>
      </c>
      <c r="S18" s="63"/>
      <c r="T18" s="74"/>
      <c r="U18" s="73">
        <v>36227.0</v>
      </c>
      <c r="V18" s="74"/>
      <c r="W18" s="74"/>
      <c r="X18" s="63"/>
      <c r="Y18" s="63"/>
      <c r="Z18" s="74"/>
      <c r="AA18" s="73">
        <v>42184.0</v>
      </c>
      <c r="AB18" s="63"/>
      <c r="AC18" s="63"/>
      <c r="AD18" s="74"/>
      <c r="AE18" s="63"/>
      <c r="AF18" s="63"/>
      <c r="AG18" s="74"/>
      <c r="AH18" s="74"/>
      <c r="AI18" s="63"/>
      <c r="AJ18" s="74"/>
      <c r="AK18" s="74"/>
      <c r="AL18" s="63"/>
      <c r="AM18" s="74"/>
      <c r="AN18" s="63"/>
      <c r="AO18" s="74"/>
      <c r="AP18" s="74"/>
      <c r="AQ18" s="74"/>
      <c r="AR18" s="63"/>
      <c r="AS18" s="63"/>
      <c r="AT18" s="74"/>
      <c r="AU18" s="63"/>
      <c r="AV18" s="74"/>
      <c r="AW18" s="74"/>
      <c r="AX18" s="74"/>
      <c r="AY18" s="63"/>
      <c r="AZ18" s="74"/>
      <c r="BA18" s="63"/>
      <c r="BB18" s="63"/>
      <c r="BC18" s="63"/>
      <c r="BD18" s="74"/>
      <c r="BE18" s="74"/>
      <c r="BF18" s="63"/>
      <c r="BG18" s="63"/>
      <c r="BH18" s="74"/>
      <c r="BI18" s="74"/>
      <c r="BJ18" s="74"/>
      <c r="BK18" s="63"/>
      <c r="BL18" s="63"/>
      <c r="BM18" s="63"/>
      <c r="BN18" s="63"/>
      <c r="BO18" s="73">
        <v>37376.0</v>
      </c>
      <c r="BP18" s="74"/>
      <c r="BQ18" s="74"/>
      <c r="BR18" s="8"/>
    </row>
    <row r="19" ht="12.0" customHeight="1">
      <c r="A19" s="67" t="s">
        <v>326</v>
      </c>
      <c r="B19" s="63"/>
      <c r="C19" s="63">
        <v>4.0</v>
      </c>
      <c r="D19" s="63"/>
      <c r="E19" s="63">
        <v>5.0</v>
      </c>
      <c r="F19" s="63"/>
      <c r="G19" s="63"/>
      <c r="H19" s="63"/>
      <c r="I19" s="63"/>
      <c r="J19" s="63"/>
      <c r="K19" s="63"/>
      <c r="L19" s="63"/>
      <c r="M19" s="63"/>
      <c r="N19" s="63"/>
      <c r="O19" s="63"/>
      <c r="P19" s="63"/>
      <c r="Q19" s="63"/>
      <c r="R19" s="63">
        <v>8.0</v>
      </c>
      <c r="S19" s="63"/>
      <c r="T19" s="63"/>
      <c r="U19" s="63">
        <v>5.0</v>
      </c>
      <c r="V19" s="63"/>
      <c r="W19" s="63"/>
      <c r="X19" s="63"/>
      <c r="Y19" s="63"/>
      <c r="Z19" s="63"/>
      <c r="AA19" s="63">
        <v>21.0</v>
      </c>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v>5.0</v>
      </c>
      <c r="BP19" s="73"/>
      <c r="BQ19" s="63"/>
      <c r="BR19" s="8"/>
    </row>
    <row r="20" ht="12.0" customHeight="1">
      <c r="A20" s="75" t="s">
        <v>327</v>
      </c>
      <c r="B20" s="63" t="s">
        <v>309</v>
      </c>
      <c r="C20" s="63" t="s">
        <v>309</v>
      </c>
      <c r="D20" s="63" t="s">
        <v>309</v>
      </c>
      <c r="E20" s="63" t="s">
        <v>309</v>
      </c>
      <c r="F20" s="63" t="s">
        <v>308</v>
      </c>
      <c r="G20" s="63" t="s">
        <v>308</v>
      </c>
      <c r="H20" s="63" t="s">
        <v>309</v>
      </c>
      <c r="I20" s="63" t="s">
        <v>309</v>
      </c>
      <c r="J20" s="63" t="s">
        <v>309</v>
      </c>
      <c r="K20" s="63" t="s">
        <v>309</v>
      </c>
      <c r="L20" s="63" t="s">
        <v>309</v>
      </c>
      <c r="M20" s="63" t="s">
        <v>309</v>
      </c>
      <c r="N20" s="63" t="s">
        <v>309</v>
      </c>
      <c r="O20" s="63" t="s">
        <v>309</v>
      </c>
      <c r="P20" s="63" t="s">
        <v>309</v>
      </c>
      <c r="Q20" s="63" t="s">
        <v>309</v>
      </c>
      <c r="R20" s="63" t="s">
        <v>309</v>
      </c>
      <c r="S20" s="63" t="s">
        <v>308</v>
      </c>
      <c r="T20" s="63" t="s">
        <v>309</v>
      </c>
      <c r="U20" s="63" t="s">
        <v>308</v>
      </c>
      <c r="V20" s="63" t="s">
        <v>309</v>
      </c>
      <c r="W20" s="63" t="s">
        <v>308</v>
      </c>
      <c r="X20" s="63" t="s">
        <v>308</v>
      </c>
      <c r="Y20" s="63" t="s">
        <v>308</v>
      </c>
      <c r="Z20" s="63" t="s">
        <v>309</v>
      </c>
      <c r="AA20" s="63" t="s">
        <v>308</v>
      </c>
      <c r="AB20" s="63" t="s">
        <v>308</v>
      </c>
      <c r="AC20" s="63" t="s">
        <v>308</v>
      </c>
      <c r="AD20" s="63" t="s">
        <v>308</v>
      </c>
      <c r="AE20" s="63" t="s">
        <v>308</v>
      </c>
      <c r="AF20" s="63" t="s">
        <v>308</v>
      </c>
      <c r="AG20" s="63" t="s">
        <v>308</v>
      </c>
      <c r="AH20" s="63" t="s">
        <v>308</v>
      </c>
      <c r="AI20" s="63" t="s">
        <v>309</v>
      </c>
      <c r="AJ20" s="63" t="s">
        <v>308</v>
      </c>
      <c r="AK20" s="63" t="s">
        <v>309</v>
      </c>
      <c r="AL20" s="63" t="s">
        <v>308</v>
      </c>
      <c r="AM20" s="63" t="s">
        <v>309</v>
      </c>
      <c r="AN20" s="63" t="s">
        <v>308</v>
      </c>
      <c r="AO20" s="63" t="s">
        <v>308</v>
      </c>
      <c r="AP20" s="63" t="s">
        <v>308</v>
      </c>
      <c r="AQ20" s="63" t="s">
        <v>309</v>
      </c>
      <c r="AR20" s="63" t="s">
        <v>308</v>
      </c>
      <c r="AS20" s="63" t="s">
        <v>308</v>
      </c>
      <c r="AT20" s="63" t="s">
        <v>308</v>
      </c>
      <c r="AU20" s="63" t="s">
        <v>308</v>
      </c>
      <c r="AV20" s="63" t="s">
        <v>309</v>
      </c>
      <c r="AW20" s="63" t="s">
        <v>309</v>
      </c>
      <c r="AX20" s="63" t="s">
        <v>309</v>
      </c>
      <c r="AY20" s="63" t="s">
        <v>308</v>
      </c>
      <c r="AZ20" s="63" t="s">
        <v>309</v>
      </c>
      <c r="BA20" s="63" t="s">
        <v>308</v>
      </c>
      <c r="BB20" s="63" t="s">
        <v>308</v>
      </c>
      <c r="BC20" s="63" t="s">
        <v>308</v>
      </c>
      <c r="BD20" s="63" t="s">
        <v>309</v>
      </c>
      <c r="BE20" s="63" t="s">
        <v>308</v>
      </c>
      <c r="BF20" s="63" t="s">
        <v>308</v>
      </c>
      <c r="BG20" s="63" t="s">
        <v>309</v>
      </c>
      <c r="BH20" s="63" t="s">
        <v>308</v>
      </c>
      <c r="BI20" s="63" t="s">
        <v>308</v>
      </c>
      <c r="BJ20" s="63" t="s">
        <v>309</v>
      </c>
      <c r="BK20" s="63" t="s">
        <v>309</v>
      </c>
      <c r="BL20" s="63" t="s">
        <v>309</v>
      </c>
      <c r="BM20" s="63" t="s">
        <v>308</v>
      </c>
      <c r="BN20" s="63" t="s">
        <v>308</v>
      </c>
      <c r="BO20" s="63" t="s">
        <v>309</v>
      </c>
      <c r="BP20" s="63" t="s">
        <v>309</v>
      </c>
      <c r="BQ20" s="63" t="s">
        <v>309</v>
      </c>
      <c r="BR20" s="8"/>
    </row>
    <row r="21" ht="12.0" customHeight="1">
      <c r="A21" s="76" t="s">
        <v>328</v>
      </c>
      <c r="B21" s="63"/>
      <c r="C21" s="63"/>
      <c r="D21" s="63"/>
      <c r="E21" s="63"/>
      <c r="F21" s="62">
        <v>39783.0</v>
      </c>
      <c r="G21" s="62">
        <v>39722.0</v>
      </c>
      <c r="H21" s="63"/>
      <c r="I21" s="63"/>
      <c r="J21" s="63"/>
      <c r="K21" s="63"/>
      <c r="L21" s="63"/>
      <c r="M21" s="63"/>
      <c r="N21" s="63"/>
      <c r="O21" s="63"/>
      <c r="P21" s="63"/>
      <c r="Q21" s="61">
        <v>35217.0</v>
      </c>
      <c r="R21" s="61"/>
      <c r="S21" s="62">
        <v>39845.0</v>
      </c>
      <c r="T21" s="74"/>
      <c r="U21" s="61">
        <v>36130.0</v>
      </c>
      <c r="V21" s="74"/>
      <c r="W21" s="61">
        <v>34001.0</v>
      </c>
      <c r="X21" s="62">
        <v>39722.0</v>
      </c>
      <c r="Y21" s="62">
        <v>39722.0</v>
      </c>
      <c r="Z21" s="61"/>
      <c r="AA21" s="62">
        <v>39722.0</v>
      </c>
      <c r="AB21" s="62">
        <v>39722.0</v>
      </c>
      <c r="AC21" s="62">
        <v>39722.0</v>
      </c>
      <c r="AD21" s="61">
        <v>35796.0</v>
      </c>
      <c r="AE21" s="62">
        <v>39692.0</v>
      </c>
      <c r="AF21" s="62">
        <v>39753.0</v>
      </c>
      <c r="AG21" s="61">
        <v>35462.0</v>
      </c>
      <c r="AH21" s="61">
        <v>35735.0</v>
      </c>
      <c r="AI21" s="63" t="s">
        <v>309</v>
      </c>
      <c r="AJ21" s="61">
        <v>35735.0</v>
      </c>
      <c r="AK21" s="61"/>
      <c r="AL21" s="62">
        <v>39783.0</v>
      </c>
      <c r="AM21" s="61"/>
      <c r="AN21" s="62">
        <v>39722.0</v>
      </c>
      <c r="AO21" s="61">
        <v>35796.0</v>
      </c>
      <c r="AP21" s="62">
        <v>34304.0</v>
      </c>
      <c r="AQ21" s="62"/>
      <c r="AR21" s="63" t="s">
        <v>329</v>
      </c>
      <c r="AS21" s="62">
        <v>39722.0</v>
      </c>
      <c r="AT21" s="61">
        <v>36922.0</v>
      </c>
      <c r="AU21" s="62">
        <v>40087.0</v>
      </c>
      <c r="AV21" s="61"/>
      <c r="AW21" s="61">
        <v>34881.0</v>
      </c>
      <c r="AX21" s="61"/>
      <c r="AY21" s="62">
        <v>39722.0</v>
      </c>
      <c r="AZ21" s="61"/>
      <c r="BA21" s="62">
        <v>39753.0</v>
      </c>
      <c r="BB21" s="62">
        <v>39783.0</v>
      </c>
      <c r="BC21" s="62">
        <v>39722.0</v>
      </c>
      <c r="BD21" s="61"/>
      <c r="BE21" s="61">
        <v>33848.0</v>
      </c>
      <c r="BF21" s="62">
        <v>39722.0</v>
      </c>
      <c r="BG21" s="63" t="s">
        <v>309</v>
      </c>
      <c r="BH21" s="61">
        <v>35643.0</v>
      </c>
      <c r="BI21" s="61">
        <v>36861.0</v>
      </c>
      <c r="BJ21" s="61"/>
      <c r="BK21" s="63" t="s">
        <v>309</v>
      </c>
      <c r="BL21" s="63"/>
      <c r="BM21" s="62">
        <v>39722.0</v>
      </c>
      <c r="BN21" s="62">
        <v>39722.0</v>
      </c>
      <c r="BO21" s="61"/>
      <c r="BP21" s="61"/>
      <c r="BQ21" s="61"/>
      <c r="BR21" s="8"/>
    </row>
    <row r="22" ht="12.0" customHeight="1">
      <c r="A22" s="76" t="s">
        <v>330</v>
      </c>
      <c r="B22" s="63"/>
      <c r="C22" s="63"/>
      <c r="D22" s="63"/>
      <c r="E22" s="63"/>
      <c r="F22" s="63"/>
      <c r="G22" s="63"/>
      <c r="H22" s="63"/>
      <c r="I22" s="63"/>
      <c r="J22" s="63"/>
      <c r="K22" s="63"/>
      <c r="L22" s="63"/>
      <c r="M22" s="63"/>
      <c r="N22" s="63"/>
      <c r="O22" s="63"/>
      <c r="P22" s="63"/>
      <c r="Q22" s="61">
        <v>35796.0</v>
      </c>
      <c r="R22" s="61"/>
      <c r="S22" s="63"/>
      <c r="T22" s="74"/>
      <c r="U22" s="61">
        <v>37257.0</v>
      </c>
      <c r="V22" s="74"/>
      <c r="W22" s="61">
        <v>36130.0</v>
      </c>
      <c r="X22" s="63"/>
      <c r="Y22" s="63"/>
      <c r="Z22" s="61"/>
      <c r="AA22" s="63"/>
      <c r="AB22" s="63"/>
      <c r="AC22" s="63"/>
      <c r="AD22" s="61">
        <v>38534.0</v>
      </c>
      <c r="AE22" s="63"/>
      <c r="AF22" s="63"/>
      <c r="AG22" s="62">
        <v>35855.0</v>
      </c>
      <c r="AH22" s="61">
        <v>38443.0</v>
      </c>
      <c r="AI22" s="63"/>
      <c r="AJ22" s="61">
        <v>36891.0</v>
      </c>
      <c r="AK22" s="61"/>
      <c r="AL22" s="63"/>
      <c r="AM22" s="61"/>
      <c r="AN22" s="63"/>
      <c r="AO22" s="61">
        <v>38565.0</v>
      </c>
      <c r="AP22" s="61">
        <v>37622.0</v>
      </c>
      <c r="AQ22" s="61"/>
      <c r="AR22" s="63"/>
      <c r="AS22" s="63"/>
      <c r="AT22" s="61">
        <v>37438.0</v>
      </c>
      <c r="AU22" s="63"/>
      <c r="AV22" s="61"/>
      <c r="AW22" s="62">
        <v>35217.0</v>
      </c>
      <c r="AX22" s="61"/>
      <c r="AY22" s="63"/>
      <c r="AZ22" s="61"/>
      <c r="BA22" s="63"/>
      <c r="BB22" s="63"/>
      <c r="BC22" s="63"/>
      <c r="BD22" s="61"/>
      <c r="BE22" s="61">
        <v>35247.0</v>
      </c>
      <c r="BF22" s="63"/>
      <c r="BG22" s="63"/>
      <c r="BH22" s="61">
        <v>38353.0</v>
      </c>
      <c r="BI22" s="61">
        <v>38172.0</v>
      </c>
      <c r="BJ22" s="61"/>
      <c r="BK22" s="63"/>
      <c r="BL22" s="63"/>
      <c r="BM22" s="63"/>
      <c r="BN22" s="63"/>
      <c r="BO22" s="61"/>
      <c r="BP22" s="61"/>
      <c r="BQ22" s="61"/>
      <c r="BR22" s="8"/>
    </row>
    <row r="23" ht="12.0" customHeight="1">
      <c r="A23" s="76" t="s">
        <v>331</v>
      </c>
      <c r="B23" s="63"/>
      <c r="C23" s="63"/>
      <c r="D23" s="63"/>
      <c r="E23" s="63"/>
      <c r="F23" s="63"/>
      <c r="G23" s="63"/>
      <c r="H23" s="63"/>
      <c r="I23" s="63"/>
      <c r="J23" s="63"/>
      <c r="K23" s="63"/>
      <c r="L23" s="63"/>
      <c r="M23" s="63"/>
      <c r="N23" s="63"/>
      <c r="O23" s="63"/>
      <c r="P23" s="63"/>
      <c r="Q23" s="63">
        <v>18.0</v>
      </c>
      <c r="R23" s="63"/>
      <c r="S23" s="63"/>
      <c r="T23" s="63"/>
      <c r="U23" s="63">
        <v>37.0</v>
      </c>
      <c r="V23" s="63"/>
      <c r="W23" s="63">
        <v>70.0</v>
      </c>
      <c r="X23" s="63"/>
      <c r="Y23" s="63"/>
      <c r="Z23" s="63"/>
      <c r="AA23" s="63"/>
      <c r="AB23" s="63"/>
      <c r="AC23" s="63"/>
      <c r="AD23" s="63">
        <v>78.0</v>
      </c>
      <c r="AE23" s="63"/>
      <c r="AF23" s="63"/>
      <c r="AG23" s="63">
        <v>11.0</v>
      </c>
      <c r="AH23" s="63">
        <v>89.0</v>
      </c>
      <c r="AI23" s="63"/>
      <c r="AJ23" s="63">
        <v>37.0</v>
      </c>
      <c r="AK23" s="63"/>
      <c r="AL23" s="63"/>
      <c r="AM23" s="63"/>
      <c r="AN23" s="63"/>
      <c r="AO23" s="63">
        <v>91.0</v>
      </c>
      <c r="AP23" s="63">
        <v>109.0</v>
      </c>
      <c r="AQ23" s="63"/>
      <c r="AR23" s="63"/>
      <c r="AS23" s="63"/>
      <c r="AT23" s="63">
        <v>14.0</v>
      </c>
      <c r="AU23" s="63"/>
      <c r="AV23" s="63"/>
      <c r="AW23" s="63">
        <v>11.0</v>
      </c>
      <c r="AX23" s="63"/>
      <c r="AY23" s="63"/>
      <c r="AZ23" s="63"/>
      <c r="BA23" s="63"/>
      <c r="BB23" s="63"/>
      <c r="BC23" s="63"/>
      <c r="BD23" s="63"/>
      <c r="BE23" s="63">
        <v>46.0</v>
      </c>
      <c r="BF23" s="63"/>
      <c r="BG23" s="63"/>
      <c r="BH23" s="63">
        <v>89.0</v>
      </c>
      <c r="BI23" s="63">
        <v>43.0</v>
      </c>
      <c r="BJ23" s="63"/>
      <c r="BK23" s="63"/>
      <c r="BL23" s="63"/>
      <c r="BM23" s="63"/>
      <c r="BN23" s="63"/>
      <c r="BO23" s="63"/>
      <c r="BP23" s="63"/>
      <c r="BQ23" s="63"/>
      <c r="BR23" s="8"/>
    </row>
    <row r="24" ht="12.0" customHeight="1">
      <c r="A24" s="76" t="s">
        <v>332</v>
      </c>
      <c r="B24" s="77"/>
      <c r="C24" s="77"/>
      <c r="D24" s="77"/>
      <c r="E24" s="77"/>
      <c r="F24" s="77" t="s">
        <v>333</v>
      </c>
      <c r="G24" s="77" t="s">
        <v>334</v>
      </c>
      <c r="H24" s="77"/>
      <c r="I24" s="77"/>
      <c r="J24" s="77"/>
      <c r="K24" s="77"/>
      <c r="L24" s="77"/>
      <c r="M24" s="77"/>
      <c r="N24" s="77"/>
      <c r="O24" s="77"/>
      <c r="P24" s="77"/>
      <c r="Q24" s="77" t="s">
        <v>335</v>
      </c>
      <c r="R24" s="77"/>
      <c r="S24" s="77" t="s">
        <v>336</v>
      </c>
      <c r="T24" s="77" t="s">
        <v>267</v>
      </c>
      <c r="U24" s="77" t="s">
        <v>337</v>
      </c>
      <c r="V24" s="77"/>
      <c r="W24" s="77" t="s">
        <v>338</v>
      </c>
      <c r="X24" s="77"/>
      <c r="Y24" s="77" t="s">
        <v>339</v>
      </c>
      <c r="Z24" s="77" t="s">
        <v>267</v>
      </c>
      <c r="AA24" s="77"/>
      <c r="AB24" s="77" t="s">
        <v>340</v>
      </c>
      <c r="AC24" s="77" t="s">
        <v>341</v>
      </c>
      <c r="AD24" s="77" t="s">
        <v>342</v>
      </c>
      <c r="AE24" s="77" t="s">
        <v>343</v>
      </c>
      <c r="AF24" s="77" t="s">
        <v>344</v>
      </c>
      <c r="AG24" s="77" t="s">
        <v>345</v>
      </c>
      <c r="AH24" s="77" t="s">
        <v>346</v>
      </c>
      <c r="AI24" s="77"/>
      <c r="AJ24" s="77" t="s">
        <v>347</v>
      </c>
      <c r="AK24" s="77" t="s">
        <v>267</v>
      </c>
      <c r="AL24" s="77" t="s">
        <v>348</v>
      </c>
      <c r="AM24" s="77"/>
      <c r="AN24" s="77" t="s">
        <v>349</v>
      </c>
      <c r="AO24" s="77" t="s">
        <v>350</v>
      </c>
      <c r="AP24" s="77" t="s">
        <v>351</v>
      </c>
      <c r="AQ24" s="77"/>
      <c r="AR24" s="77" t="s">
        <v>352</v>
      </c>
      <c r="AS24" s="77" t="s">
        <v>353</v>
      </c>
      <c r="AT24" s="77" t="s">
        <v>354</v>
      </c>
      <c r="AU24" s="77" t="s">
        <v>355</v>
      </c>
      <c r="AV24" s="77" t="s">
        <v>267</v>
      </c>
      <c r="AW24" s="77" t="s">
        <v>356</v>
      </c>
      <c r="AX24" s="77" t="s">
        <v>267</v>
      </c>
      <c r="AY24" s="77" t="s">
        <v>357</v>
      </c>
      <c r="AZ24" s="77"/>
      <c r="BA24" s="77" t="s">
        <v>358</v>
      </c>
      <c r="BB24" s="77" t="s">
        <v>359</v>
      </c>
      <c r="BC24" s="77"/>
      <c r="BD24" s="77"/>
      <c r="BE24" s="77" t="s">
        <v>360</v>
      </c>
      <c r="BF24" s="77" t="s">
        <v>361</v>
      </c>
      <c r="BG24" s="77"/>
      <c r="BH24" s="77" t="s">
        <v>362</v>
      </c>
      <c r="BI24" s="77" t="s">
        <v>363</v>
      </c>
      <c r="BJ24" s="77" t="s">
        <v>267</v>
      </c>
      <c r="BK24" s="77"/>
      <c r="BL24" s="77"/>
      <c r="BM24" s="77" t="s">
        <v>364</v>
      </c>
      <c r="BN24" s="77" t="s">
        <v>365</v>
      </c>
      <c r="BO24" s="77"/>
      <c r="BP24" s="77"/>
      <c r="BQ24" s="77"/>
      <c r="BR24" s="8" t="s">
        <v>267</v>
      </c>
    </row>
    <row r="25" ht="12.0" customHeight="1">
      <c r="A25" s="60" t="s">
        <v>366</v>
      </c>
      <c r="B25" s="69"/>
      <c r="C25" s="78"/>
      <c r="D25" s="78"/>
      <c r="E25" s="78"/>
      <c r="F25" s="69"/>
      <c r="G25" s="69"/>
      <c r="H25" s="78"/>
      <c r="I25" s="78"/>
      <c r="J25" s="78"/>
      <c r="K25" s="78"/>
      <c r="L25" s="78"/>
      <c r="M25" s="78"/>
      <c r="N25" s="78"/>
      <c r="O25" s="78"/>
      <c r="P25" s="78"/>
      <c r="Q25" s="78"/>
      <c r="R25" s="78"/>
      <c r="S25" s="69"/>
      <c r="T25" s="78"/>
      <c r="U25" s="78"/>
      <c r="V25" s="78"/>
      <c r="W25" s="78"/>
      <c r="X25" s="69"/>
      <c r="Y25" s="69"/>
      <c r="Z25" s="78"/>
      <c r="AA25" s="69"/>
      <c r="AB25" s="69"/>
      <c r="AC25" s="69"/>
      <c r="AD25" s="78"/>
      <c r="AE25" s="69"/>
      <c r="AF25" s="69"/>
      <c r="AG25" s="78"/>
      <c r="AH25" s="78"/>
      <c r="AI25" s="69"/>
      <c r="AJ25" s="78"/>
      <c r="AK25" s="78"/>
      <c r="AL25" s="69"/>
      <c r="AM25" s="78"/>
      <c r="AN25" s="69"/>
      <c r="AO25" s="78"/>
      <c r="AP25" s="78"/>
      <c r="AQ25" s="78"/>
      <c r="AR25" s="69"/>
      <c r="AS25" s="69"/>
      <c r="AT25" s="78"/>
      <c r="AU25" s="69"/>
      <c r="AV25" s="78"/>
      <c r="AW25" s="78"/>
      <c r="AX25" s="78"/>
      <c r="AY25" s="69"/>
      <c r="AZ25" s="78"/>
      <c r="BA25" s="69"/>
      <c r="BB25" s="69"/>
      <c r="BC25" s="69"/>
      <c r="BD25" s="78"/>
      <c r="BE25" s="78"/>
      <c r="BF25" s="69"/>
      <c r="BG25" s="69"/>
      <c r="BH25" s="78"/>
      <c r="BI25" s="78"/>
      <c r="BJ25" s="78"/>
      <c r="BK25" s="69"/>
      <c r="BL25" s="69"/>
      <c r="BM25" s="69"/>
      <c r="BN25" s="69"/>
      <c r="BO25" s="78"/>
      <c r="BP25" s="78"/>
      <c r="BQ25" s="78"/>
      <c r="BR25" s="8"/>
    </row>
    <row r="26" ht="12.0" customHeight="1">
      <c r="A26" s="79" t="s">
        <v>367</v>
      </c>
      <c r="B26" s="62">
        <v>29342.0</v>
      </c>
      <c r="C26" s="62">
        <v>32905.0</v>
      </c>
      <c r="D26" s="62">
        <v>33970.0</v>
      </c>
      <c r="E26" s="62">
        <v>37257.0</v>
      </c>
      <c r="F26" s="62">
        <v>39722.0</v>
      </c>
      <c r="G26" s="62">
        <v>39692.0</v>
      </c>
      <c r="H26" s="63"/>
      <c r="I26" s="62">
        <v>32325.0</v>
      </c>
      <c r="J26" s="62">
        <v>34608.0</v>
      </c>
      <c r="K26" s="62">
        <v>35217.0</v>
      </c>
      <c r="L26" s="62">
        <v>30376.0</v>
      </c>
      <c r="M26" s="63"/>
      <c r="N26" s="62">
        <v>36526.0</v>
      </c>
      <c r="O26" s="63"/>
      <c r="P26" s="63"/>
      <c r="Q26" s="63"/>
      <c r="R26" s="62">
        <v>40695.0</v>
      </c>
      <c r="S26" s="62">
        <v>39753.0</v>
      </c>
      <c r="T26" s="62">
        <v>37622.0</v>
      </c>
      <c r="U26" s="62">
        <v>36069.0</v>
      </c>
      <c r="V26" s="62">
        <v>33604.0</v>
      </c>
      <c r="W26" s="62">
        <v>32905.0</v>
      </c>
      <c r="X26" s="62">
        <v>39722.0</v>
      </c>
      <c r="Y26" s="62">
        <v>39692.0</v>
      </c>
      <c r="Z26" s="63"/>
      <c r="AA26" s="62">
        <v>39722.0</v>
      </c>
      <c r="AB26" s="62">
        <v>39904.0</v>
      </c>
      <c r="AC26" s="62">
        <v>39722.0</v>
      </c>
      <c r="AD26" s="62">
        <v>35796.0</v>
      </c>
      <c r="AE26" s="62">
        <v>39692.0</v>
      </c>
      <c r="AF26" s="62">
        <v>39692.0</v>
      </c>
      <c r="AG26" s="63"/>
      <c r="AH26" s="63"/>
      <c r="AI26" s="62">
        <v>39934.0</v>
      </c>
      <c r="AJ26" s="63"/>
      <c r="AK26" s="62">
        <v>34182.0</v>
      </c>
      <c r="AL26" s="62">
        <v>39753.0</v>
      </c>
      <c r="AM26" s="63"/>
      <c r="AN26" s="62">
        <v>39692.0</v>
      </c>
      <c r="AO26" s="62">
        <v>35643.0</v>
      </c>
      <c r="AP26" s="62">
        <v>34700.0</v>
      </c>
      <c r="AQ26" s="62">
        <v>41944.0</v>
      </c>
      <c r="AR26" s="62">
        <v>39753.0</v>
      </c>
      <c r="AS26" s="62">
        <v>39722.0</v>
      </c>
      <c r="AT26" s="62">
        <v>35796.0</v>
      </c>
      <c r="AU26" s="62">
        <v>40664.0</v>
      </c>
      <c r="AV26" s="63"/>
      <c r="AW26" s="62">
        <v>34881.0</v>
      </c>
      <c r="AX26" s="63"/>
      <c r="AY26" s="62">
        <v>40148.0</v>
      </c>
      <c r="AZ26" s="62">
        <v>36161.0</v>
      </c>
      <c r="BA26" s="62">
        <v>39722.0</v>
      </c>
      <c r="BB26" s="62">
        <v>39783.0</v>
      </c>
      <c r="BC26" s="62">
        <v>39722.0</v>
      </c>
      <c r="BD26" s="63"/>
      <c r="BE26" s="63"/>
      <c r="BF26" s="62">
        <v>39722.0</v>
      </c>
      <c r="BG26" s="62">
        <v>39692.0</v>
      </c>
      <c r="BH26" s="62">
        <v>35827.0</v>
      </c>
      <c r="BI26" s="62">
        <v>36861.0</v>
      </c>
      <c r="BJ26" s="62">
        <v>36130.0</v>
      </c>
      <c r="BK26" s="62">
        <v>39753.0</v>
      </c>
      <c r="BL26" s="62">
        <v>41671.0</v>
      </c>
      <c r="BM26" s="62">
        <v>39753.0</v>
      </c>
      <c r="BN26" s="62">
        <v>39783.0</v>
      </c>
      <c r="BO26" s="62">
        <v>37469.0</v>
      </c>
      <c r="BP26" s="63"/>
      <c r="BQ26" s="63"/>
      <c r="BR26" s="8"/>
    </row>
    <row r="27" ht="12.0" customHeight="1">
      <c r="A27" s="67" t="s">
        <v>368</v>
      </c>
      <c r="B27" s="80">
        <v>0.6465</v>
      </c>
      <c r="C27" s="80">
        <v>1.5157</v>
      </c>
      <c r="D27" s="80">
        <v>0.7135</v>
      </c>
      <c r="E27" s="80">
        <v>0.2286</v>
      </c>
      <c r="F27" s="71">
        <v>0.1261</v>
      </c>
      <c r="G27" s="71">
        <v>0.1968373689180765</v>
      </c>
      <c r="H27" s="80">
        <v>0.3193</v>
      </c>
      <c r="I27" s="80">
        <v>0.1126</v>
      </c>
      <c r="J27" s="80">
        <v>0.2012</v>
      </c>
      <c r="K27" s="80">
        <v>0.1731</v>
      </c>
      <c r="L27" s="80">
        <v>0.6123</v>
      </c>
      <c r="M27" s="80">
        <v>0.2106</v>
      </c>
      <c r="N27" s="80">
        <v>0.0507</v>
      </c>
      <c r="O27" s="80">
        <v>0.7685</v>
      </c>
      <c r="P27" s="80">
        <v>0.0325</v>
      </c>
      <c r="Q27" s="80">
        <v>0.1266</v>
      </c>
      <c r="R27" s="80">
        <v>0.15690882509666754</v>
      </c>
      <c r="S27" s="71">
        <v>0.20090790811585016</v>
      </c>
      <c r="T27" s="80">
        <v>0.4337</v>
      </c>
      <c r="U27" s="80">
        <v>0.26</v>
      </c>
      <c r="V27" s="80">
        <v>0.3092</v>
      </c>
      <c r="W27" s="80">
        <v>0.1199</v>
      </c>
      <c r="X27" s="71">
        <v>0.08942490308708952</v>
      </c>
      <c r="Y27" s="71">
        <v>0.11474607923970899</v>
      </c>
      <c r="Z27" s="80">
        <v>0.0019</v>
      </c>
      <c r="AA27" s="71">
        <v>0.4577</v>
      </c>
      <c r="AB27" s="71">
        <v>0.0444</v>
      </c>
      <c r="AC27" s="71">
        <v>0.21173126101746875</v>
      </c>
      <c r="AD27" s="80">
        <v>0.2312</v>
      </c>
      <c r="AE27" s="71">
        <v>0.20033614972290362</v>
      </c>
      <c r="AF27" s="71">
        <v>0.07679114282058926</v>
      </c>
      <c r="AG27" s="80">
        <v>0.0037</v>
      </c>
      <c r="AH27" s="80">
        <v>0.0242</v>
      </c>
      <c r="AI27" s="71">
        <v>0.0548</v>
      </c>
      <c r="AJ27" s="80">
        <v>0.2745</v>
      </c>
      <c r="AK27" s="80">
        <v>0.0916</v>
      </c>
      <c r="AL27" s="71">
        <v>0.0549</v>
      </c>
      <c r="AM27" s="80">
        <v>0.2747</v>
      </c>
      <c r="AN27" s="71">
        <v>0.147057959185589</v>
      </c>
      <c r="AO27" s="80">
        <v>0.0972</v>
      </c>
      <c r="AP27" s="80">
        <v>0.1675</v>
      </c>
      <c r="AQ27" s="80">
        <v>0.20830351829672175</v>
      </c>
      <c r="AR27" s="71">
        <v>0.10478760423924918</v>
      </c>
      <c r="AS27" s="71">
        <v>0.0858</v>
      </c>
      <c r="AT27" s="80">
        <v>0.2182</v>
      </c>
      <c r="AU27" s="71">
        <v>0.2525208586734307</v>
      </c>
      <c r="AV27" s="80">
        <v>0.1692</v>
      </c>
      <c r="AW27" s="80">
        <v>0.2726</v>
      </c>
      <c r="AX27" s="80">
        <v>0.0135</v>
      </c>
      <c r="AY27" s="71">
        <v>0.17982715969596763</v>
      </c>
      <c r="AZ27" s="80">
        <v>0.2372</v>
      </c>
      <c r="BA27" s="71">
        <v>0.24798045166473262</v>
      </c>
      <c r="BB27" s="71">
        <v>0.2086</v>
      </c>
      <c r="BC27" s="71">
        <v>0.08326670546397817</v>
      </c>
      <c r="BD27" s="80">
        <v>0.0803</v>
      </c>
      <c r="BE27" s="80">
        <v>0.0309</v>
      </c>
      <c r="BF27" s="71">
        <v>0.13150235840216976</v>
      </c>
      <c r="BG27" s="71">
        <v>0.0461</v>
      </c>
      <c r="BH27" s="80">
        <v>0.0508</v>
      </c>
      <c r="BI27" s="80">
        <v>0.2046</v>
      </c>
      <c r="BJ27" s="80">
        <v>0.1906</v>
      </c>
      <c r="BK27" s="71">
        <v>0.3005742613827314</v>
      </c>
      <c r="BL27" s="71">
        <v>0.13690048297139581</v>
      </c>
      <c r="BM27" s="71">
        <v>0.08991529343358926</v>
      </c>
      <c r="BN27" s="71">
        <v>0.04656836192821804</v>
      </c>
      <c r="BO27" s="80">
        <v>0.1285</v>
      </c>
      <c r="BP27" s="80">
        <v>0.0291</v>
      </c>
      <c r="BQ27" s="80">
        <v>0.6485</v>
      </c>
      <c r="BR27" s="8"/>
    </row>
    <row r="28" ht="12.0" customHeight="1">
      <c r="A28" s="57" t="s">
        <v>369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8"/>
    </row>
    <row r="29" ht="12.0" customHeight="1">
      <c r="A29" s="66" t="s">
        <v>370</v>
      </c>
      <c r="B29" s="80" t="s">
        <v>308</v>
      </c>
      <c r="C29" s="80" t="s">
        <v>309</v>
      </c>
      <c r="D29" s="80" t="s">
        <v>309</v>
      </c>
      <c r="E29" s="80" t="s">
        <v>308</v>
      </c>
      <c r="F29" s="80" t="s">
        <v>308</v>
      </c>
      <c r="G29" s="80" t="s">
        <v>308</v>
      </c>
      <c r="H29" s="80" t="s">
        <v>308</v>
      </c>
      <c r="I29" s="80" t="s">
        <v>309</v>
      </c>
      <c r="J29" s="80" t="s">
        <v>308</v>
      </c>
      <c r="K29" s="80" t="s">
        <v>308</v>
      </c>
      <c r="L29" s="80" t="s">
        <v>308</v>
      </c>
      <c r="M29" s="80" t="s">
        <v>308</v>
      </c>
      <c r="N29" s="80" t="s">
        <v>308</v>
      </c>
      <c r="O29" s="80" t="s">
        <v>308</v>
      </c>
      <c r="P29" s="80" t="s">
        <v>308</v>
      </c>
      <c r="Q29" s="80" t="s">
        <v>308</v>
      </c>
      <c r="R29" s="80" t="s">
        <v>308</v>
      </c>
      <c r="S29" s="80" t="s">
        <v>308</v>
      </c>
      <c r="T29" s="80" t="s">
        <v>308</v>
      </c>
      <c r="U29" s="80" t="s">
        <v>308</v>
      </c>
      <c r="V29" s="80" t="s">
        <v>308</v>
      </c>
      <c r="W29" s="80" t="s">
        <v>308</v>
      </c>
      <c r="X29" s="80" t="s">
        <v>308</v>
      </c>
      <c r="Y29" s="80" t="s">
        <v>308</v>
      </c>
      <c r="Z29" s="80" t="s">
        <v>308</v>
      </c>
      <c r="AA29" s="80" t="s">
        <v>308</v>
      </c>
      <c r="AB29" s="80" t="s">
        <v>308</v>
      </c>
      <c r="AC29" s="80" t="s">
        <v>308</v>
      </c>
      <c r="AD29" s="80" t="s">
        <v>308</v>
      </c>
      <c r="AE29" s="80" t="s">
        <v>308</v>
      </c>
      <c r="AF29" s="80" t="s">
        <v>308</v>
      </c>
      <c r="AG29" s="80" t="s">
        <v>308</v>
      </c>
      <c r="AH29" s="80" t="s">
        <v>308</v>
      </c>
      <c r="AI29" s="80" t="s">
        <v>308</v>
      </c>
      <c r="AJ29" s="80" t="s">
        <v>308</v>
      </c>
      <c r="AK29" s="80" t="s">
        <v>308</v>
      </c>
      <c r="AL29" s="80" t="s">
        <v>308</v>
      </c>
      <c r="AM29" s="80" t="s">
        <v>308</v>
      </c>
      <c r="AN29" s="80" t="s">
        <v>308</v>
      </c>
      <c r="AO29" s="80" t="s">
        <v>308</v>
      </c>
      <c r="AP29" s="80" t="s">
        <v>308</v>
      </c>
      <c r="AQ29" s="80" t="s">
        <v>309</v>
      </c>
      <c r="AR29" s="80" t="s">
        <v>308</v>
      </c>
      <c r="AS29" s="80" t="s">
        <v>308</v>
      </c>
      <c r="AT29" s="80" t="s">
        <v>308</v>
      </c>
      <c r="AU29" s="80" t="s">
        <v>308</v>
      </c>
      <c r="AV29" s="80" t="s">
        <v>308</v>
      </c>
      <c r="AW29" s="80" t="s">
        <v>308</v>
      </c>
      <c r="AX29" s="80" t="s">
        <v>309</v>
      </c>
      <c r="AY29" s="80" t="s">
        <v>308</v>
      </c>
      <c r="AZ29" s="80" t="s">
        <v>308</v>
      </c>
      <c r="BA29" s="80" t="s">
        <v>308</v>
      </c>
      <c r="BB29" s="80" t="s">
        <v>308</v>
      </c>
      <c r="BC29" s="80" t="s">
        <v>308</v>
      </c>
      <c r="BD29" s="80" t="s">
        <v>308</v>
      </c>
      <c r="BE29" s="80" t="s">
        <v>308</v>
      </c>
      <c r="BF29" s="80" t="s">
        <v>308</v>
      </c>
      <c r="BG29" s="80" t="s">
        <v>308</v>
      </c>
      <c r="BH29" s="80" t="s">
        <v>308</v>
      </c>
      <c r="BI29" s="80" t="s">
        <v>308</v>
      </c>
      <c r="BJ29" s="80" t="s">
        <v>308</v>
      </c>
      <c r="BK29" s="80" t="s">
        <v>308</v>
      </c>
      <c r="BL29" s="80" t="s">
        <v>308</v>
      </c>
      <c r="BM29" s="80" t="s">
        <v>308</v>
      </c>
      <c r="BN29" s="80" t="s">
        <v>308</v>
      </c>
      <c r="BO29" s="80" t="s">
        <v>308</v>
      </c>
      <c r="BP29" s="80" t="s">
        <v>308</v>
      </c>
      <c r="BQ29" s="80" t="s">
        <v>308</v>
      </c>
      <c r="BR29" s="8"/>
    </row>
    <row r="30" ht="12.0" customHeight="1">
      <c r="A30" s="72" t="s">
        <v>371</v>
      </c>
      <c r="B30" s="80" t="s">
        <v>308</v>
      </c>
      <c r="C30" s="80" t="s">
        <v>309</v>
      </c>
      <c r="D30" s="80" t="s">
        <v>309</v>
      </c>
      <c r="E30" s="80" t="s">
        <v>308</v>
      </c>
      <c r="F30" s="80" t="s">
        <v>308</v>
      </c>
      <c r="G30" s="80" t="s">
        <v>308</v>
      </c>
      <c r="H30" s="80" t="s">
        <v>309</v>
      </c>
      <c r="I30" s="80" t="s">
        <v>309</v>
      </c>
      <c r="J30" s="80" t="s">
        <v>309</v>
      </c>
      <c r="K30" s="80" t="s">
        <v>308</v>
      </c>
      <c r="L30" s="80" t="s">
        <v>309</v>
      </c>
      <c r="M30" s="80" t="s">
        <v>308</v>
      </c>
      <c r="N30" s="80" t="s">
        <v>308</v>
      </c>
      <c r="O30" s="80" t="s">
        <v>309</v>
      </c>
      <c r="P30" s="80" t="s">
        <v>308</v>
      </c>
      <c r="Q30" s="80" t="s">
        <v>309</v>
      </c>
      <c r="R30" s="80" t="s">
        <v>308</v>
      </c>
      <c r="S30" s="80" t="s">
        <v>308</v>
      </c>
      <c r="T30" s="80" t="s">
        <v>309</v>
      </c>
      <c r="U30" s="80" t="s">
        <v>308</v>
      </c>
      <c r="V30" s="80" t="s">
        <v>308</v>
      </c>
      <c r="W30" s="80" t="s">
        <v>308</v>
      </c>
      <c r="X30" s="80" t="s">
        <v>309</v>
      </c>
      <c r="Y30" s="80" t="s">
        <v>308</v>
      </c>
      <c r="Z30" s="80" t="s">
        <v>309</v>
      </c>
      <c r="AA30" s="80" t="s">
        <v>309</v>
      </c>
      <c r="AB30" s="80" t="s">
        <v>309</v>
      </c>
      <c r="AC30" s="80" t="s">
        <v>308</v>
      </c>
      <c r="AD30" s="80" t="s">
        <v>308</v>
      </c>
      <c r="AE30" s="80" t="s">
        <v>308</v>
      </c>
      <c r="AF30" s="80" t="s">
        <v>309</v>
      </c>
      <c r="AG30" s="80" t="s">
        <v>308</v>
      </c>
      <c r="AH30" s="80" t="s">
        <v>308</v>
      </c>
      <c r="AI30" s="80" t="s">
        <v>309</v>
      </c>
      <c r="AJ30" s="80" t="s">
        <v>308</v>
      </c>
      <c r="AK30" s="80" t="s">
        <v>309</v>
      </c>
      <c r="AL30" s="80" t="s">
        <v>308</v>
      </c>
      <c r="AM30" s="80" t="s">
        <v>308</v>
      </c>
      <c r="AN30" s="80" t="s">
        <v>308</v>
      </c>
      <c r="AO30" s="80" t="s">
        <v>308</v>
      </c>
      <c r="AP30" s="80" t="s">
        <v>308</v>
      </c>
      <c r="AQ30" s="80" t="s">
        <v>309</v>
      </c>
      <c r="AR30" s="80" t="s">
        <v>308</v>
      </c>
      <c r="AS30" s="80" t="s">
        <v>308</v>
      </c>
      <c r="AT30" s="80" t="s">
        <v>309</v>
      </c>
      <c r="AU30" s="80" t="s">
        <v>308</v>
      </c>
      <c r="AV30" s="80" t="s">
        <v>308</v>
      </c>
      <c r="AW30" s="80" t="s">
        <v>309</v>
      </c>
      <c r="AX30" s="80" t="s">
        <v>309</v>
      </c>
      <c r="AY30" s="80" t="s">
        <v>309</v>
      </c>
      <c r="AZ30" s="80" t="s">
        <v>308</v>
      </c>
      <c r="BA30" s="80" t="s">
        <v>309</v>
      </c>
      <c r="BB30" s="80" t="s">
        <v>309</v>
      </c>
      <c r="BC30" s="80" t="s">
        <v>309</v>
      </c>
      <c r="BD30" s="80" t="s">
        <v>309</v>
      </c>
      <c r="BE30" s="80" t="s">
        <v>308</v>
      </c>
      <c r="BF30" s="80" t="s">
        <v>309</v>
      </c>
      <c r="BG30" s="80" t="s">
        <v>309</v>
      </c>
      <c r="BH30" s="80" t="s">
        <v>308</v>
      </c>
      <c r="BI30" s="80" t="s">
        <v>308</v>
      </c>
      <c r="BJ30" s="80" t="s">
        <v>309</v>
      </c>
      <c r="BK30" s="80" t="s">
        <v>308</v>
      </c>
      <c r="BL30" s="80" t="s">
        <v>308</v>
      </c>
      <c r="BM30" s="80" t="s">
        <v>308</v>
      </c>
      <c r="BN30" s="80" t="s">
        <v>308</v>
      </c>
      <c r="BO30" s="80" t="s">
        <v>308</v>
      </c>
      <c r="BP30" s="80" t="s">
        <v>308</v>
      </c>
      <c r="BQ30" s="80" t="s">
        <v>309</v>
      </c>
      <c r="BR30" s="8"/>
    </row>
    <row r="31" ht="11.25" customHeight="1">
      <c r="A31" s="72" t="s">
        <v>372</v>
      </c>
      <c r="B31" s="80" t="s">
        <v>309</v>
      </c>
      <c r="C31" s="80" t="s">
        <v>309</v>
      </c>
      <c r="D31" s="80" t="s">
        <v>309</v>
      </c>
      <c r="E31" s="80" t="s">
        <v>309</v>
      </c>
      <c r="F31" s="80" t="s">
        <v>309</v>
      </c>
      <c r="G31" s="80" t="s">
        <v>309</v>
      </c>
      <c r="H31" s="80" t="s">
        <v>308</v>
      </c>
      <c r="I31" s="80" t="s">
        <v>309</v>
      </c>
      <c r="J31" s="80" t="s">
        <v>309</v>
      </c>
      <c r="K31" s="80" t="s">
        <v>308</v>
      </c>
      <c r="L31" s="80" t="s">
        <v>308</v>
      </c>
      <c r="M31" s="80" t="s">
        <v>309</v>
      </c>
      <c r="N31" s="80" t="s">
        <v>308</v>
      </c>
      <c r="O31" s="80" t="s">
        <v>308</v>
      </c>
      <c r="P31" s="80" t="s">
        <v>308</v>
      </c>
      <c r="Q31" s="80" t="s">
        <v>308</v>
      </c>
      <c r="R31" s="80" t="s">
        <v>308</v>
      </c>
      <c r="S31" s="80" t="s">
        <v>309</v>
      </c>
      <c r="T31" s="80" t="s">
        <v>308</v>
      </c>
      <c r="U31" s="80" t="s">
        <v>308</v>
      </c>
      <c r="V31" s="80" t="s">
        <v>308</v>
      </c>
      <c r="W31" s="80" t="s">
        <v>308</v>
      </c>
      <c r="X31" s="80" t="s">
        <v>309</v>
      </c>
      <c r="Y31" s="80" t="s">
        <v>308</v>
      </c>
      <c r="Z31" s="80" t="s">
        <v>308</v>
      </c>
      <c r="AA31" s="80" t="s">
        <v>308</v>
      </c>
      <c r="AB31" s="80" t="s">
        <v>309</v>
      </c>
      <c r="AC31" s="80" t="s">
        <v>309</v>
      </c>
      <c r="AD31" s="80" t="s">
        <v>308</v>
      </c>
      <c r="AE31" s="80" t="s">
        <v>308</v>
      </c>
      <c r="AF31" s="80" t="s">
        <v>309</v>
      </c>
      <c r="AG31" s="80" t="s">
        <v>308</v>
      </c>
      <c r="AH31" s="80" t="s">
        <v>308</v>
      </c>
      <c r="AI31" s="80" t="s">
        <v>309</v>
      </c>
      <c r="AJ31" s="80" t="s">
        <v>308</v>
      </c>
      <c r="AK31" s="80" t="s">
        <v>309</v>
      </c>
      <c r="AL31" s="80" t="s">
        <v>309</v>
      </c>
      <c r="AM31" s="80" t="s">
        <v>308</v>
      </c>
      <c r="AN31" s="80" t="s">
        <v>309</v>
      </c>
      <c r="AO31" s="80" t="s">
        <v>308</v>
      </c>
      <c r="AP31" s="80" t="s">
        <v>308</v>
      </c>
      <c r="AQ31" s="80" t="s">
        <v>309</v>
      </c>
      <c r="AR31" s="80" t="s">
        <v>309</v>
      </c>
      <c r="AS31" s="80" t="s">
        <v>309</v>
      </c>
      <c r="AT31" s="80" t="s">
        <v>308</v>
      </c>
      <c r="AU31" s="80" t="s">
        <v>308</v>
      </c>
      <c r="AV31" s="80" t="s">
        <v>309</v>
      </c>
      <c r="AW31" s="80" t="s">
        <v>309</v>
      </c>
      <c r="AX31" s="80" t="s">
        <v>309</v>
      </c>
      <c r="AY31" s="80" t="s">
        <v>309</v>
      </c>
      <c r="AZ31" s="80" t="s">
        <v>308</v>
      </c>
      <c r="BA31" s="80" t="s">
        <v>309</v>
      </c>
      <c r="BB31" s="80" t="s">
        <v>309</v>
      </c>
      <c r="BC31" s="80" t="s">
        <v>308</v>
      </c>
      <c r="BD31" s="80" t="s">
        <v>309</v>
      </c>
      <c r="BE31" s="80" t="s">
        <v>308</v>
      </c>
      <c r="BF31" s="80" t="s">
        <v>309</v>
      </c>
      <c r="BG31" s="80" t="s">
        <v>308</v>
      </c>
      <c r="BH31" s="80" t="s">
        <v>308</v>
      </c>
      <c r="BI31" s="80" t="s">
        <v>308</v>
      </c>
      <c r="BJ31" s="80" t="s">
        <v>309</v>
      </c>
      <c r="BK31" s="80" t="s">
        <v>309</v>
      </c>
      <c r="BL31" s="80" t="s">
        <v>309</v>
      </c>
      <c r="BM31" s="80" t="s">
        <v>308</v>
      </c>
      <c r="BN31" s="80" t="s">
        <v>308</v>
      </c>
      <c r="BO31" s="80" t="s">
        <v>308</v>
      </c>
      <c r="BP31" s="80" t="s">
        <v>309</v>
      </c>
      <c r="BQ31" s="80" t="s">
        <v>308</v>
      </c>
      <c r="BR31" s="8"/>
    </row>
    <row r="32" ht="12.0" customHeight="1">
      <c r="A32" s="67" t="s">
        <v>373</v>
      </c>
      <c r="B32" s="81">
        <v>0.0</v>
      </c>
      <c r="C32" s="81">
        <v>0.0</v>
      </c>
      <c r="D32" s="81">
        <v>0.0</v>
      </c>
      <c r="E32" s="81">
        <v>0.0</v>
      </c>
      <c r="F32" s="81">
        <v>2.0</v>
      </c>
      <c r="G32" s="81">
        <v>2.0</v>
      </c>
      <c r="H32" s="81">
        <v>1.0</v>
      </c>
      <c r="I32" s="81">
        <v>0.0</v>
      </c>
      <c r="J32" s="81">
        <v>0.0</v>
      </c>
      <c r="K32" s="81">
        <v>2.0</v>
      </c>
      <c r="L32" s="81">
        <v>0.0</v>
      </c>
      <c r="M32" s="81">
        <v>0.0</v>
      </c>
      <c r="N32" s="81">
        <v>1.0</v>
      </c>
      <c r="O32" s="81">
        <v>1.0</v>
      </c>
      <c r="P32" s="81">
        <v>1.0</v>
      </c>
      <c r="Q32" s="81">
        <v>1.0</v>
      </c>
      <c r="R32" s="81">
        <v>0.0</v>
      </c>
      <c r="S32" s="81">
        <v>1.0</v>
      </c>
      <c r="T32" s="81">
        <v>1.0</v>
      </c>
      <c r="U32" s="81">
        <v>1.0</v>
      </c>
      <c r="V32" s="81">
        <v>2.0</v>
      </c>
      <c r="W32" s="81">
        <v>1.0</v>
      </c>
      <c r="X32" s="81">
        <v>2.0</v>
      </c>
      <c r="Y32" s="81">
        <v>2.0</v>
      </c>
      <c r="Z32" s="81">
        <v>1.0</v>
      </c>
      <c r="AA32" s="81">
        <v>1.0</v>
      </c>
      <c r="AB32" s="81">
        <v>0.0</v>
      </c>
      <c r="AC32" s="81">
        <v>0.0</v>
      </c>
      <c r="AD32" s="81">
        <v>1.0</v>
      </c>
      <c r="AE32" s="81">
        <v>1.0</v>
      </c>
      <c r="AF32" s="81">
        <v>0.0</v>
      </c>
      <c r="AG32" s="81">
        <v>1.0</v>
      </c>
      <c r="AH32" s="81">
        <v>1.0</v>
      </c>
      <c r="AI32" s="81">
        <v>0.0</v>
      </c>
      <c r="AJ32" s="81">
        <v>1.0</v>
      </c>
      <c r="AK32" s="81">
        <v>0.0</v>
      </c>
      <c r="AL32" s="81">
        <v>2.0</v>
      </c>
      <c r="AM32" s="81">
        <v>1.0</v>
      </c>
      <c r="AN32" s="81">
        <v>0.0</v>
      </c>
      <c r="AO32" s="81">
        <v>1.0</v>
      </c>
      <c r="AP32" s="81">
        <v>0.0</v>
      </c>
      <c r="AQ32" s="81"/>
      <c r="AR32" s="81">
        <v>0.0</v>
      </c>
      <c r="AS32" s="81">
        <v>0.0</v>
      </c>
      <c r="AT32" s="81">
        <v>2.0</v>
      </c>
      <c r="AU32" s="81">
        <v>1.0</v>
      </c>
      <c r="AV32" s="81">
        <v>0.0</v>
      </c>
      <c r="AW32" s="81">
        <v>0.0</v>
      </c>
      <c r="AX32" s="81">
        <v>0.0</v>
      </c>
      <c r="AY32" s="81">
        <v>0.0</v>
      </c>
      <c r="AZ32" s="81">
        <v>1.0</v>
      </c>
      <c r="BA32" s="81">
        <v>0.0</v>
      </c>
      <c r="BB32" s="81">
        <v>0.0</v>
      </c>
      <c r="BC32" s="81">
        <v>0.0</v>
      </c>
      <c r="BD32" s="81">
        <v>0.0</v>
      </c>
      <c r="BE32" s="81">
        <v>1.0</v>
      </c>
      <c r="BF32" s="81">
        <v>0.0</v>
      </c>
      <c r="BG32" s="81">
        <v>2.0</v>
      </c>
      <c r="BH32" s="81">
        <v>1.0</v>
      </c>
      <c r="BI32" s="81">
        <v>1.0</v>
      </c>
      <c r="BJ32" s="81">
        <v>0.0</v>
      </c>
      <c r="BK32" s="81">
        <v>0.0</v>
      </c>
      <c r="BL32" s="81">
        <v>0.0</v>
      </c>
      <c r="BM32" s="81">
        <v>2.0</v>
      </c>
      <c r="BN32" s="81">
        <v>2.0</v>
      </c>
      <c r="BO32" s="81">
        <v>1.0</v>
      </c>
      <c r="BP32" s="81">
        <v>0.0</v>
      </c>
      <c r="BQ32" s="81">
        <v>1.0</v>
      </c>
      <c r="BR32" s="21"/>
    </row>
    <row r="33" ht="12.0" customHeight="1">
      <c r="A33" s="60" t="s">
        <v>374</v>
      </c>
      <c r="B33" s="80" t="s">
        <v>309</v>
      </c>
      <c r="C33" s="80" t="s">
        <v>309</v>
      </c>
      <c r="D33" s="80" t="s">
        <v>308</v>
      </c>
      <c r="E33" s="80" t="s">
        <v>308</v>
      </c>
      <c r="F33" s="80" t="s">
        <v>308</v>
      </c>
      <c r="G33" s="80" t="s">
        <v>308</v>
      </c>
      <c r="H33" s="80" t="s">
        <v>308</v>
      </c>
      <c r="I33" s="80" t="s">
        <v>309</v>
      </c>
      <c r="J33" s="80" t="s">
        <v>308</v>
      </c>
      <c r="K33" s="80" t="s">
        <v>308</v>
      </c>
      <c r="L33" s="80" t="s">
        <v>308</v>
      </c>
      <c r="M33" s="80" t="s">
        <v>308</v>
      </c>
      <c r="N33" s="80" t="s">
        <v>308</v>
      </c>
      <c r="O33" s="80" t="s">
        <v>308</v>
      </c>
      <c r="P33" s="80" t="s">
        <v>308</v>
      </c>
      <c r="Q33" s="80" t="s">
        <v>308</v>
      </c>
      <c r="R33" s="80" t="s">
        <v>308</v>
      </c>
      <c r="S33" s="80" t="s">
        <v>308</v>
      </c>
      <c r="T33" s="80" t="s">
        <v>309</v>
      </c>
      <c r="U33" s="80" t="s">
        <v>308</v>
      </c>
      <c r="V33" s="80" t="s">
        <v>308</v>
      </c>
      <c r="W33" s="80" t="s">
        <v>308</v>
      </c>
      <c r="X33" s="80" t="s">
        <v>308</v>
      </c>
      <c r="Y33" s="80" t="s">
        <v>308</v>
      </c>
      <c r="Z33" s="80" t="s">
        <v>308</v>
      </c>
      <c r="AA33" s="80" t="s">
        <v>308</v>
      </c>
      <c r="AB33" s="80" t="s">
        <v>308</v>
      </c>
      <c r="AC33" s="80" t="s">
        <v>308</v>
      </c>
      <c r="AD33" s="80" t="s">
        <v>308</v>
      </c>
      <c r="AE33" s="80" t="s">
        <v>308</v>
      </c>
      <c r="AF33" s="80" t="s">
        <v>308</v>
      </c>
      <c r="AG33" s="80" t="s">
        <v>308</v>
      </c>
      <c r="AH33" s="80" t="s">
        <v>308</v>
      </c>
      <c r="AI33" s="80" t="s">
        <v>308</v>
      </c>
      <c r="AJ33" s="80" t="s">
        <v>308</v>
      </c>
      <c r="AK33" s="80" t="s">
        <v>309</v>
      </c>
      <c r="AL33" s="80" t="s">
        <v>308</v>
      </c>
      <c r="AM33" s="80" t="s">
        <v>308</v>
      </c>
      <c r="AN33" s="80" t="s">
        <v>308</v>
      </c>
      <c r="AO33" s="80" t="s">
        <v>308</v>
      </c>
      <c r="AP33" s="80" t="s">
        <v>308</v>
      </c>
      <c r="AQ33" s="80" t="s">
        <v>309</v>
      </c>
      <c r="AR33" s="80" t="s">
        <v>308</v>
      </c>
      <c r="AS33" s="80" t="s">
        <v>308</v>
      </c>
      <c r="AT33" s="80" t="s">
        <v>309</v>
      </c>
      <c r="AU33" s="80" t="s">
        <v>308</v>
      </c>
      <c r="AV33" s="80" t="s">
        <v>308</v>
      </c>
      <c r="AW33" s="80" t="s">
        <v>308</v>
      </c>
      <c r="AX33" s="80" t="s">
        <v>309</v>
      </c>
      <c r="AY33" s="80" t="s">
        <v>309</v>
      </c>
      <c r="AZ33" s="80" t="s">
        <v>309</v>
      </c>
      <c r="BA33" s="80" t="s">
        <v>308</v>
      </c>
      <c r="BB33" s="80" t="s">
        <v>308</v>
      </c>
      <c r="BC33" s="80" t="s">
        <v>308</v>
      </c>
      <c r="BD33" s="80" t="s">
        <v>308</v>
      </c>
      <c r="BE33" s="80" t="s">
        <v>308</v>
      </c>
      <c r="BF33" s="80" t="s">
        <v>308</v>
      </c>
      <c r="BG33" s="80" t="s">
        <v>308</v>
      </c>
      <c r="BH33" s="80" t="s">
        <v>308</v>
      </c>
      <c r="BI33" s="80" t="s">
        <v>308</v>
      </c>
      <c r="BJ33" s="80" t="s">
        <v>309</v>
      </c>
      <c r="BK33" s="80" t="s">
        <v>308</v>
      </c>
      <c r="BL33" s="80" t="s">
        <v>308</v>
      </c>
      <c r="BM33" s="80" t="s">
        <v>308</v>
      </c>
      <c r="BN33" s="80" t="s">
        <v>308</v>
      </c>
      <c r="BO33" s="80" t="s">
        <v>308</v>
      </c>
      <c r="BP33" s="80" t="s">
        <v>308</v>
      </c>
      <c r="BQ33" s="80" t="s">
        <v>308</v>
      </c>
      <c r="BR33" s="8"/>
    </row>
    <row r="34" ht="12.0" customHeight="1">
      <c r="A34" s="67" t="s">
        <v>375</v>
      </c>
      <c r="B34" s="80"/>
      <c r="C34" s="80"/>
      <c r="D34" s="80">
        <v>0.0028</v>
      </c>
      <c r="E34" s="80">
        <v>0.0958466453674121</v>
      </c>
      <c r="F34" s="80">
        <v>0.0396</v>
      </c>
      <c r="G34" s="80">
        <v>0.058</v>
      </c>
      <c r="H34" s="80">
        <v>0.00949333333333333</v>
      </c>
      <c r="I34" s="80"/>
      <c r="J34" s="80">
        <v>0.0498</v>
      </c>
      <c r="K34" s="80">
        <v>0.0231</v>
      </c>
      <c r="L34" s="80">
        <v>0.3433</v>
      </c>
      <c r="M34" s="80">
        <v>0.0187</v>
      </c>
      <c r="N34" s="80">
        <v>0.0426</v>
      </c>
      <c r="O34" s="80" t="s">
        <v>376</v>
      </c>
      <c r="P34" s="80">
        <v>0.032</v>
      </c>
      <c r="Q34" s="80">
        <v>0.0098</v>
      </c>
      <c r="R34" s="80">
        <v>0.189</v>
      </c>
      <c r="S34" s="80">
        <v>0.027999999999999997</v>
      </c>
      <c r="T34" s="80"/>
      <c r="U34" s="80">
        <v>0.019</v>
      </c>
      <c r="V34" s="80">
        <v>0.0126</v>
      </c>
      <c r="W34" s="80">
        <v>0.0863</v>
      </c>
      <c r="X34" s="80">
        <v>0.01</v>
      </c>
      <c r="Y34" s="80">
        <v>0.018000000000000002</v>
      </c>
      <c r="Z34" s="80">
        <v>0.06</v>
      </c>
      <c r="AA34" s="80">
        <v>0.254</v>
      </c>
      <c r="AB34" s="80">
        <v>0.0023</v>
      </c>
      <c r="AC34" s="80">
        <v>0.243</v>
      </c>
      <c r="AD34" s="80">
        <v>0.373</v>
      </c>
      <c r="AE34" s="80">
        <v>0.3713</v>
      </c>
      <c r="AF34" s="80">
        <v>0.003</v>
      </c>
      <c r="AG34" s="80">
        <v>0.139</v>
      </c>
      <c r="AH34" s="80">
        <v>0.0661</v>
      </c>
      <c r="AI34" s="80">
        <v>0.024</v>
      </c>
      <c r="AJ34" s="80">
        <v>0.1931</v>
      </c>
      <c r="AK34" s="80"/>
      <c r="AL34" s="80">
        <v>0.031</v>
      </c>
      <c r="AM34" s="80">
        <v>0.017</v>
      </c>
      <c r="AN34" s="80">
        <v>0.077</v>
      </c>
      <c r="AO34" s="80">
        <v>0.164</v>
      </c>
      <c r="AP34" s="80">
        <v>0.038</v>
      </c>
      <c r="AQ34" s="80"/>
      <c r="AR34" s="80">
        <v>0.042</v>
      </c>
      <c r="AS34" s="80">
        <v>0.063</v>
      </c>
      <c r="AT34" s="80"/>
      <c r="AU34" s="80">
        <v>0.11800000000000001</v>
      </c>
      <c r="AV34" s="80">
        <v>0.0261</v>
      </c>
      <c r="AW34" s="80">
        <v>0.012241998662463</v>
      </c>
      <c r="AX34" s="80">
        <v>0.002</v>
      </c>
      <c r="AY34" s="80">
        <v>0.0</v>
      </c>
      <c r="AZ34" s="80"/>
      <c r="BA34" s="80">
        <v>0.023</v>
      </c>
      <c r="BB34" s="80">
        <v>0.008</v>
      </c>
      <c r="BC34" s="80">
        <v>0.02</v>
      </c>
      <c r="BD34" s="80">
        <v>0.036</v>
      </c>
      <c r="BE34" s="80">
        <v>0.0185</v>
      </c>
      <c r="BF34" s="80">
        <v>0.002</v>
      </c>
      <c r="BG34" s="80">
        <v>0.011000000000000001</v>
      </c>
      <c r="BH34" s="80">
        <v>0.188</v>
      </c>
      <c r="BI34" s="80">
        <v>0.245</v>
      </c>
      <c r="BJ34" s="80"/>
      <c r="BK34" s="80">
        <v>0.045</v>
      </c>
      <c r="BL34" s="80">
        <v>0.072</v>
      </c>
      <c r="BM34" s="80">
        <v>0.05</v>
      </c>
      <c r="BN34" s="80">
        <v>0.036000000000000004</v>
      </c>
      <c r="BO34" s="80">
        <v>0.0618</v>
      </c>
      <c r="BP34" s="80">
        <v>0.0559</v>
      </c>
      <c r="BQ34" s="80">
        <v>0.05</v>
      </c>
      <c r="BR34" s="8"/>
    </row>
    <row r="35" ht="12.0" customHeight="1">
      <c r="A35" s="67" t="s">
        <v>377</v>
      </c>
      <c r="B35" s="80"/>
      <c r="C35" s="80"/>
      <c r="D35" s="80" t="s">
        <v>309</v>
      </c>
      <c r="E35" s="80" t="s">
        <v>309</v>
      </c>
      <c r="F35" s="80"/>
      <c r="G35" s="80"/>
      <c r="H35" s="80" t="s">
        <v>308</v>
      </c>
      <c r="I35" s="80"/>
      <c r="J35" s="80" t="s">
        <v>378</v>
      </c>
      <c r="K35" s="80" t="s">
        <v>309</v>
      </c>
      <c r="L35" s="80" t="s">
        <v>308</v>
      </c>
      <c r="M35" s="80" t="s">
        <v>309</v>
      </c>
      <c r="N35" s="80" t="s">
        <v>308</v>
      </c>
      <c r="O35" s="80" t="s">
        <v>309</v>
      </c>
      <c r="P35" s="80" t="s">
        <v>309</v>
      </c>
      <c r="Q35" s="80" t="s">
        <v>309</v>
      </c>
      <c r="R35" s="80" t="s">
        <v>309</v>
      </c>
      <c r="S35" s="80"/>
      <c r="T35" s="80"/>
      <c r="U35" s="80" t="s">
        <v>308</v>
      </c>
      <c r="V35" s="80" t="s">
        <v>308</v>
      </c>
      <c r="W35" s="80" t="s">
        <v>308</v>
      </c>
      <c r="X35" s="80"/>
      <c r="Y35" s="80"/>
      <c r="Z35" s="80" t="s">
        <v>309</v>
      </c>
      <c r="AA35" s="80"/>
      <c r="AB35" s="80"/>
      <c r="AC35" s="80"/>
      <c r="AD35" s="80" t="s">
        <v>309</v>
      </c>
      <c r="AE35" s="80"/>
      <c r="AF35" s="80"/>
      <c r="AG35" s="80" t="s">
        <v>308</v>
      </c>
      <c r="AH35" s="80" t="s">
        <v>308</v>
      </c>
      <c r="AI35" s="80"/>
      <c r="AJ35" s="80" t="s">
        <v>308</v>
      </c>
      <c r="AK35" s="80"/>
      <c r="AL35" s="80"/>
      <c r="AM35" s="80" t="s">
        <v>308</v>
      </c>
      <c r="AN35" s="80"/>
      <c r="AO35" s="80" t="s">
        <v>308</v>
      </c>
      <c r="AP35" s="80" t="s">
        <v>308</v>
      </c>
      <c r="AQ35" s="80"/>
      <c r="AR35" s="80"/>
      <c r="AS35" s="80"/>
      <c r="AT35" s="80"/>
      <c r="AU35" s="80"/>
      <c r="AV35" s="80" t="s">
        <v>308</v>
      </c>
      <c r="AW35" s="80" t="s">
        <v>309</v>
      </c>
      <c r="AX35" s="80" t="s">
        <v>309</v>
      </c>
      <c r="AY35" s="80"/>
      <c r="AZ35" s="80"/>
      <c r="BA35" s="80"/>
      <c r="BB35" s="80"/>
      <c r="BC35" s="80"/>
      <c r="BD35" s="80" t="s">
        <v>309</v>
      </c>
      <c r="BE35" s="80" t="s">
        <v>308</v>
      </c>
      <c r="BF35" s="80"/>
      <c r="BG35" s="80" t="s">
        <v>308</v>
      </c>
      <c r="BH35" s="80"/>
      <c r="BI35" s="80" t="s">
        <v>308</v>
      </c>
      <c r="BJ35" s="80"/>
      <c r="BK35" s="80"/>
      <c r="BL35" s="80" t="s">
        <v>309</v>
      </c>
      <c r="BM35" s="80"/>
      <c r="BN35" s="80" t="s">
        <v>308</v>
      </c>
      <c r="BO35" s="80" t="s">
        <v>308</v>
      </c>
      <c r="BP35" s="80" t="s">
        <v>309</v>
      </c>
      <c r="BQ35" s="80" t="s">
        <v>309</v>
      </c>
      <c r="BR35" s="8"/>
    </row>
    <row r="36" ht="12.0" customHeight="1">
      <c r="A36" s="67" t="s">
        <v>379</v>
      </c>
      <c r="B36" s="80"/>
      <c r="C36" s="80"/>
      <c r="D36" s="80">
        <v>0.0</v>
      </c>
      <c r="E36" s="80">
        <v>0.0</v>
      </c>
      <c r="F36" s="80"/>
      <c r="G36" s="80"/>
      <c r="H36" s="80">
        <v>0.00949333333333333</v>
      </c>
      <c r="I36" s="80"/>
      <c r="J36" s="80">
        <v>0.0</v>
      </c>
      <c r="K36" s="80">
        <v>0.0</v>
      </c>
      <c r="L36" s="80">
        <v>0.278741935483871</v>
      </c>
      <c r="M36" s="80">
        <v>0.0</v>
      </c>
      <c r="N36" s="80">
        <v>0.0156</v>
      </c>
      <c r="O36" s="80">
        <v>0.0</v>
      </c>
      <c r="P36" s="80">
        <v>0.0</v>
      </c>
      <c r="Q36" s="80">
        <v>0.0</v>
      </c>
      <c r="R36" s="80">
        <v>0.0</v>
      </c>
      <c r="S36" s="80"/>
      <c r="T36" s="80"/>
      <c r="U36" s="80">
        <v>0.003</v>
      </c>
      <c r="V36" s="80">
        <v>0.0027</v>
      </c>
      <c r="W36" s="80">
        <v>0.0172</v>
      </c>
      <c r="X36" s="80"/>
      <c r="Y36" s="80"/>
      <c r="Z36" s="80">
        <v>0.0</v>
      </c>
      <c r="AA36" s="80"/>
      <c r="AB36" s="80"/>
      <c r="AC36" s="80"/>
      <c r="AD36" s="80">
        <v>0.0</v>
      </c>
      <c r="AE36" s="80"/>
      <c r="AF36" s="80"/>
      <c r="AG36" s="80">
        <v>0.0495</v>
      </c>
      <c r="AH36" s="80">
        <v>9.0E-4</v>
      </c>
      <c r="AI36" s="80"/>
      <c r="AJ36" s="80">
        <v>0.035</v>
      </c>
      <c r="AK36" s="80"/>
      <c r="AL36" s="80"/>
      <c r="AM36" s="80">
        <v>0.00202895</v>
      </c>
      <c r="AN36" s="80"/>
      <c r="AO36" s="80">
        <v>0.113</v>
      </c>
      <c r="AP36" s="80">
        <v>0.013</v>
      </c>
      <c r="AQ36" s="80"/>
      <c r="AR36" s="80"/>
      <c r="AS36" s="80"/>
      <c r="AT36" s="80"/>
      <c r="AU36" s="80"/>
      <c r="AV36" s="80">
        <v>0.02</v>
      </c>
      <c r="AW36" s="80">
        <v>0.0</v>
      </c>
      <c r="AX36" s="80">
        <v>0.0</v>
      </c>
      <c r="AY36" s="80"/>
      <c r="AZ36" s="80"/>
      <c r="BA36" s="80"/>
      <c r="BB36" s="80"/>
      <c r="BC36" s="80"/>
      <c r="BD36" s="80">
        <v>0.0</v>
      </c>
      <c r="BE36" s="80">
        <v>0.0036</v>
      </c>
      <c r="BF36" s="80"/>
      <c r="BG36" s="80">
        <v>0.015</v>
      </c>
      <c r="BH36" s="80"/>
      <c r="BI36" s="80">
        <v>0.013</v>
      </c>
      <c r="BJ36" s="80"/>
      <c r="BK36" s="80"/>
      <c r="BL36" s="80">
        <v>0.0</v>
      </c>
      <c r="BM36" s="80"/>
      <c r="BN36" s="80">
        <v>0.021</v>
      </c>
      <c r="BO36" s="80">
        <v>0.0116</v>
      </c>
      <c r="BP36" s="80">
        <v>0.0</v>
      </c>
      <c r="BQ36" s="80">
        <v>0.0</v>
      </c>
      <c r="BR36" s="8"/>
    </row>
    <row r="37" ht="12.0" customHeight="1">
      <c r="A37" s="67" t="s">
        <v>380</v>
      </c>
      <c r="B37" s="80"/>
      <c r="C37" s="80"/>
      <c r="D37" s="80">
        <v>0.0028</v>
      </c>
      <c r="E37" s="80">
        <v>0.0958466453674121</v>
      </c>
      <c r="F37" s="80"/>
      <c r="G37" s="80"/>
      <c r="H37" s="80">
        <v>0.0</v>
      </c>
      <c r="I37" s="80"/>
      <c r="J37" s="80">
        <v>0.0498</v>
      </c>
      <c r="K37" s="80">
        <v>0.0231</v>
      </c>
      <c r="L37" s="80">
        <v>0.064558064516129</v>
      </c>
      <c r="M37" s="80">
        <v>0.0187</v>
      </c>
      <c r="N37" s="80">
        <v>0.027</v>
      </c>
      <c r="O37" s="80" t="s">
        <v>376</v>
      </c>
      <c r="P37" s="80">
        <v>0.032</v>
      </c>
      <c r="Q37" s="80">
        <v>0.0098</v>
      </c>
      <c r="R37" s="80">
        <f>+R34-R36</f>
        <v>0.189</v>
      </c>
      <c r="S37" s="80"/>
      <c r="T37" s="80"/>
      <c r="U37" s="80">
        <v>0.016</v>
      </c>
      <c r="V37" s="80">
        <v>0.009899999999999999</v>
      </c>
      <c r="W37" s="80">
        <v>0.0691</v>
      </c>
      <c r="X37" s="80"/>
      <c r="Y37" s="80"/>
      <c r="Z37" s="80">
        <v>0.06</v>
      </c>
      <c r="AA37" s="80"/>
      <c r="AB37" s="80"/>
      <c r="AC37" s="80"/>
      <c r="AD37" s="80">
        <v>0.373</v>
      </c>
      <c r="AE37" s="80"/>
      <c r="AF37" s="80"/>
      <c r="AG37" s="80">
        <v>0.0895</v>
      </c>
      <c r="AH37" s="80">
        <v>0.06520000000000001</v>
      </c>
      <c r="AI37" s="80"/>
      <c r="AJ37" s="80">
        <v>0.1581</v>
      </c>
      <c r="AK37" s="80"/>
      <c r="AL37" s="80"/>
      <c r="AM37" s="80">
        <v>0.014971050000000001</v>
      </c>
      <c r="AN37" s="80"/>
      <c r="AO37" s="80">
        <v>0.051</v>
      </c>
      <c r="AP37" s="80">
        <v>0.025</v>
      </c>
      <c r="AQ37" s="80"/>
      <c r="AR37" s="80"/>
      <c r="AS37" s="80"/>
      <c r="AT37" s="80"/>
      <c r="AU37" s="80"/>
      <c r="AV37" s="80">
        <v>0.0061</v>
      </c>
      <c r="AW37" s="80">
        <v>0.012241998662463</v>
      </c>
      <c r="AX37" s="80">
        <v>0.002</v>
      </c>
      <c r="AY37" s="80"/>
      <c r="AZ37" s="80"/>
      <c r="BA37" s="80"/>
      <c r="BB37" s="80"/>
      <c r="BC37" s="80"/>
      <c r="BD37" s="80">
        <v>0.036</v>
      </c>
      <c r="BE37" s="80">
        <v>0.0149</v>
      </c>
      <c r="BF37" s="80"/>
      <c r="BG37" s="80">
        <v>-0.004</v>
      </c>
      <c r="BH37" s="80">
        <v>0.188</v>
      </c>
      <c r="BI37" s="80">
        <v>0.23199999999999998</v>
      </c>
      <c r="BJ37" s="80"/>
      <c r="BK37" s="80"/>
      <c r="BL37" s="80">
        <f>+BL34-BL36</f>
        <v>0.072</v>
      </c>
      <c r="BM37" s="80"/>
      <c r="BN37" s="80">
        <v>0.015</v>
      </c>
      <c r="BO37" s="80">
        <v>0.0502</v>
      </c>
      <c r="BP37" s="80">
        <v>0.0559</v>
      </c>
      <c r="BQ37" s="80">
        <v>0.05</v>
      </c>
      <c r="BR37" s="8"/>
    </row>
    <row r="38" ht="12.0" customHeight="1">
      <c r="A38" s="72" t="s">
        <v>381</v>
      </c>
      <c r="B38" s="63" t="s">
        <v>309</v>
      </c>
      <c r="C38" s="63" t="s">
        <v>308</v>
      </c>
      <c r="D38" s="63" t="s">
        <v>309</v>
      </c>
      <c r="E38" s="63" t="s">
        <v>308</v>
      </c>
      <c r="F38" s="63" t="s">
        <v>309</v>
      </c>
      <c r="G38" s="63" t="s">
        <v>309</v>
      </c>
      <c r="H38" s="63" t="s">
        <v>308</v>
      </c>
      <c r="I38" s="63" t="s">
        <v>309</v>
      </c>
      <c r="J38" s="63" t="s">
        <v>378</v>
      </c>
      <c r="K38" s="63" t="s">
        <v>309</v>
      </c>
      <c r="L38" s="63" t="s">
        <v>308</v>
      </c>
      <c r="M38" s="63" t="s">
        <v>309</v>
      </c>
      <c r="N38" s="63" t="s">
        <v>309</v>
      </c>
      <c r="O38" s="63" t="s">
        <v>308</v>
      </c>
      <c r="P38" s="63" t="s">
        <v>309</v>
      </c>
      <c r="Q38" s="63" t="s">
        <v>309</v>
      </c>
      <c r="R38" s="63" t="s">
        <v>308</v>
      </c>
      <c r="S38" s="63" t="s">
        <v>309</v>
      </c>
      <c r="T38" s="63" t="s">
        <v>309</v>
      </c>
      <c r="U38" s="63" t="s">
        <v>308</v>
      </c>
      <c r="V38" s="63" t="s">
        <v>308</v>
      </c>
      <c r="W38" s="63" t="s">
        <v>309</v>
      </c>
      <c r="X38" s="63" t="s">
        <v>309</v>
      </c>
      <c r="Y38" s="63" t="s">
        <v>309</v>
      </c>
      <c r="Z38" s="63" t="s">
        <v>309</v>
      </c>
      <c r="AA38" s="63" t="s">
        <v>309</v>
      </c>
      <c r="AB38" s="63" t="s">
        <v>309</v>
      </c>
      <c r="AC38" s="63" t="s">
        <v>308</v>
      </c>
      <c r="AD38" s="63" t="s">
        <v>309</v>
      </c>
      <c r="AE38" s="63" t="s">
        <v>309</v>
      </c>
      <c r="AF38" s="63" t="s">
        <v>309</v>
      </c>
      <c r="AG38" s="63" t="s">
        <v>309</v>
      </c>
      <c r="AH38" s="63" t="s">
        <v>309</v>
      </c>
      <c r="AI38" s="63" t="s">
        <v>309</v>
      </c>
      <c r="AJ38" s="63" t="s">
        <v>309</v>
      </c>
      <c r="AK38" s="63" t="s">
        <v>308</v>
      </c>
      <c r="AL38" s="63" t="s">
        <v>309</v>
      </c>
      <c r="AM38" s="63" t="s">
        <v>308</v>
      </c>
      <c r="AN38" s="63" t="s">
        <v>309</v>
      </c>
      <c r="AO38" s="63" t="s">
        <v>309</v>
      </c>
      <c r="AP38" s="63" t="s">
        <v>309</v>
      </c>
      <c r="AQ38" s="63" t="s">
        <v>309</v>
      </c>
      <c r="AR38" s="63" t="s">
        <v>309</v>
      </c>
      <c r="AS38" s="63" t="s">
        <v>309</v>
      </c>
      <c r="AT38" s="63" t="s">
        <v>309</v>
      </c>
      <c r="AU38" s="63" t="s">
        <v>309</v>
      </c>
      <c r="AV38" s="63" t="s">
        <v>309</v>
      </c>
      <c r="AW38" s="63" t="s">
        <v>309</v>
      </c>
      <c r="AX38" s="63" t="s">
        <v>309</v>
      </c>
      <c r="AY38" s="63" t="s">
        <v>309</v>
      </c>
      <c r="AZ38" s="63" t="s">
        <v>308</v>
      </c>
      <c r="BA38" s="63" t="s">
        <v>309</v>
      </c>
      <c r="BB38" s="63" t="s">
        <v>309</v>
      </c>
      <c r="BC38" s="63" t="s">
        <v>309</v>
      </c>
      <c r="BD38" s="63" t="s">
        <v>309</v>
      </c>
      <c r="BE38" s="63" t="s">
        <v>309</v>
      </c>
      <c r="BF38" s="63" t="s">
        <v>309</v>
      </c>
      <c r="BG38" s="63" t="s">
        <v>309</v>
      </c>
      <c r="BH38" s="63" t="s">
        <v>308</v>
      </c>
      <c r="BI38" s="63" t="s">
        <v>309</v>
      </c>
      <c r="BJ38" s="63" t="s">
        <v>308</v>
      </c>
      <c r="BK38" s="63" t="s">
        <v>309</v>
      </c>
      <c r="BL38" s="63" t="s">
        <v>309</v>
      </c>
      <c r="BM38" s="63" t="s">
        <v>309</v>
      </c>
      <c r="BN38" s="63" t="s">
        <v>309</v>
      </c>
      <c r="BO38" s="63" t="s">
        <v>309</v>
      </c>
      <c r="BP38" s="63" t="s">
        <v>308</v>
      </c>
      <c r="BQ38" s="63" t="s">
        <v>309</v>
      </c>
      <c r="BR38" s="8"/>
    </row>
    <row r="39" ht="12.0" customHeight="1">
      <c r="A39" s="57" t="s">
        <v>382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8"/>
    </row>
    <row r="40" ht="12.0" customHeight="1">
      <c r="A40" s="67" t="s">
        <v>383</v>
      </c>
      <c r="B40" s="63" t="s">
        <v>308</v>
      </c>
      <c r="C40" s="63" t="s">
        <v>308</v>
      </c>
      <c r="D40" s="63" t="s">
        <v>308</v>
      </c>
      <c r="E40" s="63" t="s">
        <v>308</v>
      </c>
      <c r="F40" s="63" t="s">
        <v>309</v>
      </c>
      <c r="G40" s="63" t="s">
        <v>309</v>
      </c>
      <c r="H40" s="63" t="s">
        <v>309</v>
      </c>
      <c r="I40" s="63" t="s">
        <v>308</v>
      </c>
      <c r="J40" s="63" t="s">
        <v>309</v>
      </c>
      <c r="K40" s="63" t="s">
        <v>308</v>
      </c>
      <c r="L40" s="63" t="s">
        <v>308</v>
      </c>
      <c r="M40" s="63" t="s">
        <v>309</v>
      </c>
      <c r="N40" s="63" t="s">
        <v>309</v>
      </c>
      <c r="O40" s="63" t="s">
        <v>308</v>
      </c>
      <c r="P40" s="63" t="s">
        <v>309</v>
      </c>
      <c r="Q40" s="63" t="s">
        <v>309</v>
      </c>
      <c r="R40" s="63" t="s">
        <v>308</v>
      </c>
      <c r="S40" s="63" t="s">
        <v>309</v>
      </c>
      <c r="T40" s="63" t="s">
        <v>308</v>
      </c>
      <c r="U40" s="63" t="s">
        <v>308</v>
      </c>
      <c r="V40" s="63" t="s">
        <v>308</v>
      </c>
      <c r="W40" s="63" t="s">
        <v>309</v>
      </c>
      <c r="X40" s="63" t="s">
        <v>309</v>
      </c>
      <c r="Y40" s="63" t="s">
        <v>309</v>
      </c>
      <c r="Z40" s="63" t="s">
        <v>309</v>
      </c>
      <c r="AA40" s="63" t="s">
        <v>308</v>
      </c>
      <c r="AB40" s="63" t="s">
        <v>308</v>
      </c>
      <c r="AC40" s="63" t="s">
        <v>308</v>
      </c>
      <c r="AD40" s="63" t="s">
        <v>308</v>
      </c>
      <c r="AE40" s="63" t="s">
        <v>308</v>
      </c>
      <c r="AF40" s="63" t="s">
        <v>309</v>
      </c>
      <c r="AG40" s="63" t="s">
        <v>309</v>
      </c>
      <c r="AH40" s="63" t="s">
        <v>309</v>
      </c>
      <c r="AI40" s="63" t="s">
        <v>309</v>
      </c>
      <c r="AJ40" s="63" t="s">
        <v>308</v>
      </c>
      <c r="AK40" s="63" t="s">
        <v>308</v>
      </c>
      <c r="AL40" s="63" t="s">
        <v>308</v>
      </c>
      <c r="AM40" s="63" t="s">
        <v>309</v>
      </c>
      <c r="AN40" s="63" t="s">
        <v>309</v>
      </c>
      <c r="AO40" s="63" t="s">
        <v>309</v>
      </c>
      <c r="AP40" s="63" t="s">
        <v>308</v>
      </c>
      <c r="AQ40" s="63"/>
      <c r="AR40" s="63" t="s">
        <v>308</v>
      </c>
      <c r="AS40" s="63" t="s">
        <v>309</v>
      </c>
      <c r="AT40" s="63" t="s">
        <v>309</v>
      </c>
      <c r="AU40" s="63" t="s">
        <v>309</v>
      </c>
      <c r="AV40" s="63" t="s">
        <v>309</v>
      </c>
      <c r="AW40" s="63" t="s">
        <v>309</v>
      </c>
      <c r="AX40" s="63" t="s">
        <v>308</v>
      </c>
      <c r="AY40" s="63" t="s">
        <v>308</v>
      </c>
      <c r="AZ40" s="63" t="s">
        <v>308</v>
      </c>
      <c r="BA40" s="63" t="s">
        <v>309</v>
      </c>
      <c r="BB40" s="63" t="s">
        <v>309</v>
      </c>
      <c r="BC40" s="63" t="s">
        <v>309</v>
      </c>
      <c r="BD40" s="63" t="s">
        <v>309</v>
      </c>
      <c r="BE40" s="63" t="s">
        <v>309</v>
      </c>
      <c r="BF40" s="63" t="s">
        <v>309</v>
      </c>
      <c r="BG40" s="63" t="s">
        <v>309</v>
      </c>
      <c r="BH40" s="63" t="s">
        <v>308</v>
      </c>
      <c r="BI40" s="63" t="s">
        <v>308</v>
      </c>
      <c r="BJ40" s="63" t="s">
        <v>308</v>
      </c>
      <c r="BK40" s="63" t="s">
        <v>308</v>
      </c>
      <c r="BL40" s="63" t="s">
        <v>308</v>
      </c>
      <c r="BM40" s="63" t="s">
        <v>309</v>
      </c>
      <c r="BN40" s="63" t="s">
        <v>309</v>
      </c>
      <c r="BO40" s="63" t="s">
        <v>308</v>
      </c>
      <c r="BP40" s="63" t="s">
        <v>308</v>
      </c>
      <c r="BQ40" s="80" t="s">
        <v>309</v>
      </c>
      <c r="BR40" s="8"/>
    </row>
    <row r="41" ht="12.0" customHeight="1">
      <c r="A41" s="67" t="s">
        <v>384</v>
      </c>
      <c r="B41" s="63">
        <v>1983.0</v>
      </c>
      <c r="C41" s="63">
        <v>1990.0</v>
      </c>
      <c r="D41" s="63">
        <v>1995.0</v>
      </c>
      <c r="E41" s="63">
        <v>2000.0</v>
      </c>
      <c r="F41" s="63"/>
      <c r="G41" s="63"/>
      <c r="H41" s="63"/>
      <c r="I41" s="63">
        <v>1989.0</v>
      </c>
      <c r="J41" s="63"/>
      <c r="K41" s="63">
        <v>1996.0</v>
      </c>
      <c r="L41" s="63">
        <v>1983.0</v>
      </c>
      <c r="M41" s="63"/>
      <c r="N41" s="63"/>
      <c r="O41" s="63">
        <v>1985.0</v>
      </c>
      <c r="P41" s="63"/>
      <c r="Q41" s="63"/>
      <c r="R41" s="63">
        <v>2013.0</v>
      </c>
      <c r="S41" s="63"/>
      <c r="T41" s="63">
        <v>2004.0</v>
      </c>
      <c r="U41" s="63">
        <v>2000.0</v>
      </c>
      <c r="V41" s="63">
        <v>1993.0</v>
      </c>
      <c r="W41" s="63"/>
      <c r="X41" s="63"/>
      <c r="Y41" s="63"/>
      <c r="Z41" s="63"/>
      <c r="AA41" s="63" t="s">
        <v>385</v>
      </c>
      <c r="AB41" s="63">
        <v>2008.0</v>
      </c>
      <c r="AC41" s="63">
        <v>2008.0</v>
      </c>
      <c r="AD41" s="63">
        <v>1998.0</v>
      </c>
      <c r="AE41" s="63">
        <v>2010.0</v>
      </c>
      <c r="AF41" s="63"/>
      <c r="AG41" s="63"/>
      <c r="AH41" s="63"/>
      <c r="AI41" s="63"/>
      <c r="AJ41" s="63">
        <v>1998.0</v>
      </c>
      <c r="AK41" s="63">
        <v>1993.0</v>
      </c>
      <c r="AL41" s="63">
        <v>2009.0</v>
      </c>
      <c r="AM41" s="63"/>
      <c r="AN41" s="63"/>
      <c r="AO41" s="63"/>
      <c r="AP41" s="63">
        <v>1995.0</v>
      </c>
      <c r="AQ41" s="63"/>
      <c r="AR41" s="63">
        <v>2009.0</v>
      </c>
      <c r="AS41" s="63"/>
      <c r="AT41" s="63"/>
      <c r="AU41" s="63"/>
      <c r="AV41" s="63"/>
      <c r="AW41" s="63"/>
      <c r="AX41" s="63">
        <v>1998.0</v>
      </c>
      <c r="AY41" s="63">
        <v>2011.0</v>
      </c>
      <c r="AZ41" s="63">
        <v>1999.0</v>
      </c>
      <c r="BA41" s="63"/>
      <c r="BB41" s="63"/>
      <c r="BC41" s="63"/>
      <c r="BD41" s="63"/>
      <c r="BE41" s="63"/>
      <c r="BF41" s="63"/>
      <c r="BG41" s="63"/>
      <c r="BH41" s="63">
        <v>1998.0</v>
      </c>
      <c r="BI41" s="63">
        <v>2000.0</v>
      </c>
      <c r="BJ41" s="63">
        <v>1995.0</v>
      </c>
      <c r="BK41" s="63" t="s">
        <v>386</v>
      </c>
      <c r="BL41" s="63">
        <v>2014.0</v>
      </c>
      <c r="BM41" s="63"/>
      <c r="BN41" s="63"/>
      <c r="BO41" s="63">
        <v>1996.0</v>
      </c>
      <c r="BP41" s="63">
        <v>1996.0</v>
      </c>
      <c r="BQ41" s="63"/>
      <c r="BR41" s="8"/>
    </row>
    <row r="42" ht="9.75" customHeight="1">
      <c r="A42" s="69"/>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t="s">
        <v>267</v>
      </c>
      <c r="BM42" s="63"/>
      <c r="BN42" s="63"/>
      <c r="BO42" s="63"/>
      <c r="BP42" s="63"/>
      <c r="BQ42" s="63"/>
      <c r="BR42" s="8"/>
    </row>
    <row r="43" ht="12.0" customHeight="1">
      <c r="A43" s="57" t="s">
        <v>387</v>
      </c>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8"/>
    </row>
    <row r="44" ht="12.0" customHeight="1">
      <c r="A44" s="66" t="s">
        <v>388</v>
      </c>
      <c r="B44" s="63"/>
      <c r="C44" s="63"/>
      <c r="D44" s="63"/>
      <c r="E44" s="63"/>
      <c r="F44" s="63"/>
      <c r="G44" s="63"/>
      <c r="H44" s="63"/>
      <c r="I44" s="63"/>
      <c r="J44" s="63"/>
      <c r="K44" s="63"/>
      <c r="L44" s="63"/>
      <c r="M44" s="63"/>
      <c r="N44" s="63"/>
      <c r="O44" s="63"/>
      <c r="P44" s="63"/>
      <c r="Q44" s="63"/>
      <c r="R44" s="78"/>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8"/>
    </row>
    <row r="45" ht="12.0" customHeight="1">
      <c r="A45" s="67" t="s">
        <v>389</v>
      </c>
      <c r="B45" s="80">
        <v>0.09</v>
      </c>
      <c r="C45" s="80">
        <v>0.27</v>
      </c>
      <c r="D45" s="80">
        <v>0.17</v>
      </c>
      <c r="E45" s="80">
        <v>0.201</v>
      </c>
      <c r="F45" s="80">
        <v>0.041</v>
      </c>
      <c r="G45" s="80">
        <v>0.0424</v>
      </c>
      <c r="H45" s="80">
        <v>0.062</v>
      </c>
      <c r="I45" s="80"/>
      <c r="J45" s="80">
        <v>0.16</v>
      </c>
      <c r="K45" s="80">
        <v>0.75</v>
      </c>
      <c r="L45" s="80">
        <v>0.356</v>
      </c>
      <c r="M45" s="80">
        <v>0.041</v>
      </c>
      <c r="N45" s="80">
        <v>0.14</v>
      </c>
      <c r="O45" s="80">
        <v>0.5</v>
      </c>
      <c r="P45" s="80">
        <v>0.105</v>
      </c>
      <c r="Q45" s="80">
        <v>0.18</v>
      </c>
      <c r="R45" s="80">
        <v>0.4775</v>
      </c>
      <c r="S45" s="80">
        <v>0.0595</v>
      </c>
      <c r="T45" s="80">
        <v>0.09</v>
      </c>
      <c r="U45" s="80">
        <v>0.4</v>
      </c>
      <c r="V45" s="80">
        <v>0.07</v>
      </c>
      <c r="W45" s="80">
        <v>0.13</v>
      </c>
      <c r="X45" s="80">
        <v>0.045</v>
      </c>
      <c r="Y45" s="80">
        <v>0.037</v>
      </c>
      <c r="Z45" s="80">
        <v>0.35</v>
      </c>
      <c r="AA45" s="80">
        <v>0.371</v>
      </c>
      <c r="AB45" s="80">
        <v>0.1732</v>
      </c>
      <c r="AC45" s="80">
        <v>0.612</v>
      </c>
      <c r="AD45" s="80">
        <v>0.325</v>
      </c>
      <c r="AE45" s="80">
        <v>0.2571</v>
      </c>
      <c r="AF45" s="80">
        <v>0.1803</v>
      </c>
      <c r="AG45" s="80">
        <v>0.289</v>
      </c>
      <c r="AH45" s="80">
        <v>0.35</v>
      </c>
      <c r="AI45" s="80">
        <v>0.377</v>
      </c>
      <c r="AJ45" s="80">
        <v>0.35</v>
      </c>
      <c r="AK45" s="80">
        <v>0.2</v>
      </c>
      <c r="AL45" s="80">
        <v>0.1593</v>
      </c>
      <c r="AM45" s="80">
        <v>0.322</v>
      </c>
      <c r="AN45" s="80">
        <v>0.0167</v>
      </c>
      <c r="AO45" s="80">
        <v>0.3</v>
      </c>
      <c r="AP45" s="80">
        <v>0.189</v>
      </c>
      <c r="AQ45" s="80">
        <v>0.1641</v>
      </c>
      <c r="AR45" s="80">
        <v>0.2</v>
      </c>
      <c r="AS45" s="80">
        <v>0.032</v>
      </c>
      <c r="AT45" s="80">
        <v>0.127</v>
      </c>
      <c r="AU45" s="80">
        <v>0.301</v>
      </c>
      <c r="AV45" s="80">
        <v>0.1636363636363636</v>
      </c>
      <c r="AW45" s="80">
        <v>0.081</v>
      </c>
      <c r="AX45" s="80">
        <v>0.2</v>
      </c>
      <c r="AY45" s="80">
        <v>0.129</v>
      </c>
      <c r="AZ45" s="80">
        <v>0.4</v>
      </c>
      <c r="BA45" s="80">
        <v>0.0962</v>
      </c>
      <c r="BB45" s="80">
        <v>0.1797</v>
      </c>
      <c r="BC45" s="80">
        <v>0.0938</v>
      </c>
      <c r="BD45" s="80">
        <v>0.35</v>
      </c>
      <c r="BE45" s="80">
        <v>0.13</v>
      </c>
      <c r="BF45" s="80">
        <v>0.02</v>
      </c>
      <c r="BG45" s="80">
        <v>0.005</v>
      </c>
      <c r="BH45" s="80">
        <v>0.33</v>
      </c>
      <c r="BI45" s="80">
        <v>0.276</v>
      </c>
      <c r="BJ45" s="80">
        <v>0.624</v>
      </c>
      <c r="BK45" s="80">
        <v>0.1545</v>
      </c>
      <c r="BL45" s="80">
        <v>0.5511</v>
      </c>
      <c r="BM45" s="80">
        <v>0.04</v>
      </c>
      <c r="BN45" s="80">
        <v>0.0499</v>
      </c>
      <c r="BO45" s="80">
        <v>0.363</v>
      </c>
      <c r="BP45" s="80">
        <v>0.24</v>
      </c>
      <c r="BQ45" s="80">
        <v>0.35</v>
      </c>
      <c r="BR45" s="8"/>
    </row>
    <row r="46" ht="12.0" customHeight="1">
      <c r="A46" s="66" t="s">
        <v>390</v>
      </c>
      <c r="B46" s="80">
        <f t="shared" ref="B46:BQ46" si="2">+B47-B48</f>
        <v>0.551</v>
      </c>
      <c r="C46" s="80">
        <f t="shared" si="2"/>
        <v>0.06</v>
      </c>
      <c r="D46" s="80">
        <f t="shared" si="2"/>
        <v>0.02</v>
      </c>
      <c r="E46" s="80">
        <f t="shared" si="2"/>
        <v>0.09584664537</v>
      </c>
      <c r="F46" s="80">
        <f t="shared" si="2"/>
        <v>0.0164</v>
      </c>
      <c r="G46" s="80">
        <f t="shared" si="2"/>
        <v>0.0046</v>
      </c>
      <c r="H46" s="80">
        <f t="shared" si="2"/>
        <v>0.02653333333</v>
      </c>
      <c r="I46" s="80">
        <f t="shared" si="2"/>
        <v>0</v>
      </c>
      <c r="J46" s="80">
        <f t="shared" si="2"/>
        <v>0.102</v>
      </c>
      <c r="K46" s="80">
        <f t="shared" si="2"/>
        <v>0.139</v>
      </c>
      <c r="L46" s="80">
        <f t="shared" si="2"/>
        <v>0.168</v>
      </c>
      <c r="M46" s="80">
        <f t="shared" si="2"/>
        <v>0.05</v>
      </c>
      <c r="N46" s="80">
        <f t="shared" si="2"/>
        <v>0.0254</v>
      </c>
      <c r="O46" s="80">
        <f t="shared" si="2"/>
        <v>0.25</v>
      </c>
      <c r="P46" s="80">
        <f t="shared" si="2"/>
        <v>0.069</v>
      </c>
      <c r="Q46" s="80">
        <f t="shared" si="2"/>
        <v>0.058</v>
      </c>
      <c r="R46" s="80">
        <f t="shared" si="2"/>
        <v>0.1799</v>
      </c>
      <c r="S46" s="80">
        <f t="shared" si="2"/>
        <v>0.0244</v>
      </c>
      <c r="T46" s="80">
        <f t="shared" si="2"/>
        <v>0.208</v>
      </c>
      <c r="U46" s="80">
        <f t="shared" si="2"/>
        <v>0.1626</v>
      </c>
      <c r="V46" s="80">
        <f t="shared" si="2"/>
        <v>0.0163</v>
      </c>
      <c r="W46" s="80">
        <f t="shared" si="2"/>
        <v>0.1108</v>
      </c>
      <c r="X46" s="80">
        <f t="shared" si="2"/>
        <v>0.0106</v>
      </c>
      <c r="Y46" s="80">
        <f t="shared" si="2"/>
        <v>0.0069</v>
      </c>
      <c r="Z46" s="80">
        <f t="shared" si="2"/>
        <v>0.06</v>
      </c>
      <c r="AA46" s="80">
        <f t="shared" si="2"/>
        <v>0.1711</v>
      </c>
      <c r="AB46" s="80">
        <f t="shared" si="2"/>
        <v>0.0008</v>
      </c>
      <c r="AC46" s="80">
        <f t="shared" si="2"/>
        <v>0.033</v>
      </c>
      <c r="AD46" s="80">
        <f t="shared" si="2"/>
        <v>0.522</v>
      </c>
      <c r="AE46" s="80">
        <f t="shared" si="2"/>
        <v>0.2676</v>
      </c>
      <c r="AF46" s="80">
        <f t="shared" si="2"/>
        <v>0.0065</v>
      </c>
      <c r="AG46" s="80">
        <f t="shared" si="2"/>
        <v>0.3895</v>
      </c>
      <c r="AH46" s="80">
        <f t="shared" si="2"/>
        <v>0.0851</v>
      </c>
      <c r="AI46" s="80">
        <f t="shared" si="2"/>
        <v>0.037</v>
      </c>
      <c r="AJ46" s="80">
        <f t="shared" si="2"/>
        <v>0.232</v>
      </c>
      <c r="AK46" s="80">
        <f t="shared" si="2"/>
        <v>0.03</v>
      </c>
      <c r="AL46" s="80">
        <f t="shared" si="2"/>
        <v>0.0393</v>
      </c>
      <c r="AM46" s="80">
        <f t="shared" si="2"/>
        <v>0.02897105</v>
      </c>
      <c r="AN46" s="80">
        <f t="shared" si="2"/>
        <v>0.05</v>
      </c>
      <c r="AO46" s="80">
        <f t="shared" si="2"/>
        <v>0.051</v>
      </c>
      <c r="AP46" s="80">
        <f t="shared" si="2"/>
        <v>0.18</v>
      </c>
      <c r="AQ46" s="80">
        <f t="shared" si="2"/>
        <v>0.117</v>
      </c>
      <c r="AR46" s="80">
        <f t="shared" si="2"/>
        <v>0.051</v>
      </c>
      <c r="AS46" s="80">
        <f t="shared" si="2"/>
        <v>0.0506</v>
      </c>
      <c r="AT46" s="80">
        <f t="shared" si="2"/>
        <v>0.1257</v>
      </c>
      <c r="AU46" s="80">
        <f t="shared" si="2"/>
        <v>0.118</v>
      </c>
      <c r="AV46" s="80">
        <f t="shared" si="2"/>
        <v>0.006</v>
      </c>
      <c r="AW46" s="80">
        <f t="shared" si="2"/>
        <v>0.1</v>
      </c>
      <c r="AX46" s="80">
        <f t="shared" si="2"/>
        <v>0.132</v>
      </c>
      <c r="AY46" s="80">
        <f t="shared" si="2"/>
        <v>0.0763</v>
      </c>
      <c r="AZ46" s="80">
        <f t="shared" si="2"/>
        <v>0.06</v>
      </c>
      <c r="BA46" s="80">
        <f t="shared" si="2"/>
        <v>0.023</v>
      </c>
      <c r="BB46" s="80">
        <f t="shared" si="2"/>
        <v>0.084</v>
      </c>
      <c r="BC46" s="80">
        <f t="shared" si="2"/>
        <v>0.0498</v>
      </c>
      <c r="BD46" s="80">
        <f t="shared" si="2"/>
        <v>0.05</v>
      </c>
      <c r="BE46" s="80">
        <f t="shared" si="2"/>
        <v>0.002</v>
      </c>
      <c r="BF46" s="80">
        <f t="shared" si="2"/>
        <v>-0.0001</v>
      </c>
      <c r="BG46" s="80">
        <f t="shared" si="2"/>
        <v>-0.004</v>
      </c>
      <c r="BH46" s="80">
        <f t="shared" si="2"/>
        <v>0.348</v>
      </c>
      <c r="BI46" s="80">
        <f t="shared" si="2"/>
        <v>0.307</v>
      </c>
      <c r="BJ46" s="80">
        <f t="shared" si="2"/>
        <v>0</v>
      </c>
      <c r="BK46" s="80">
        <f t="shared" si="2"/>
        <v>0.045</v>
      </c>
      <c r="BL46" s="80">
        <f t="shared" si="2"/>
        <v>0.1392</v>
      </c>
      <c r="BM46" s="80">
        <f t="shared" si="2"/>
        <v>0.0378</v>
      </c>
      <c r="BN46" s="80">
        <f t="shared" si="2"/>
        <v>0.0064</v>
      </c>
      <c r="BO46" s="80">
        <f t="shared" si="2"/>
        <v>0.1083333333</v>
      </c>
      <c r="BP46" s="80">
        <f t="shared" si="2"/>
        <v>0.125</v>
      </c>
      <c r="BQ46" s="80">
        <f t="shared" si="2"/>
        <v>0.1</v>
      </c>
      <c r="BR46" s="8"/>
    </row>
    <row r="47" ht="12.0" customHeight="1">
      <c r="A47" s="67" t="s">
        <v>391</v>
      </c>
      <c r="B47" s="80">
        <v>0.551</v>
      </c>
      <c r="C47" s="80">
        <v>0.06</v>
      </c>
      <c r="D47" s="80">
        <v>0.02</v>
      </c>
      <c r="E47" s="80">
        <v>0.0958466453674121</v>
      </c>
      <c r="F47" s="80">
        <v>0.0515</v>
      </c>
      <c r="G47" s="80">
        <v>0.0615</v>
      </c>
      <c r="H47" s="80">
        <v>0.06026666666666667</v>
      </c>
      <c r="I47" s="80">
        <v>0.0</v>
      </c>
      <c r="J47" s="80">
        <v>0.132</v>
      </c>
      <c r="K47" s="80">
        <v>0.14</v>
      </c>
      <c r="L47" s="80">
        <v>0.429</v>
      </c>
      <c r="M47" s="80">
        <v>0.05</v>
      </c>
      <c r="N47" s="80">
        <v>0.0628</v>
      </c>
      <c r="O47" s="80">
        <v>0.25</v>
      </c>
      <c r="P47" s="80">
        <v>0.069</v>
      </c>
      <c r="Q47" s="80">
        <v>0.068</v>
      </c>
      <c r="R47" s="80">
        <v>0.1881</v>
      </c>
      <c r="S47" s="80">
        <v>0.0594</v>
      </c>
      <c r="T47" s="80">
        <v>0.22</v>
      </c>
      <c r="U47" s="80">
        <v>0.217</v>
      </c>
      <c r="V47" s="80">
        <v>0.019</v>
      </c>
      <c r="W47" s="80">
        <v>0.128</v>
      </c>
      <c r="X47" s="80">
        <v>0.0126</v>
      </c>
      <c r="Y47" s="80">
        <v>0.0273</v>
      </c>
      <c r="Z47" s="80">
        <v>0.06</v>
      </c>
      <c r="AA47" s="80">
        <v>0.287</v>
      </c>
      <c r="AB47" s="80">
        <v>0.0285</v>
      </c>
      <c r="AC47" s="80">
        <v>0.376</v>
      </c>
      <c r="AD47" s="80">
        <v>0.568</v>
      </c>
      <c r="AE47" s="80">
        <v>0.3763</v>
      </c>
      <c r="AF47" s="80">
        <v>0.0073</v>
      </c>
      <c r="AG47" s="80">
        <v>0.439</v>
      </c>
      <c r="AH47" s="80">
        <v>0.086</v>
      </c>
      <c r="AI47" s="80">
        <v>0.037</v>
      </c>
      <c r="AJ47" s="80">
        <v>0.312</v>
      </c>
      <c r="AK47" s="80">
        <v>0.03</v>
      </c>
      <c r="AL47" s="80">
        <v>0.081</v>
      </c>
      <c r="AM47" s="80">
        <v>0.031</v>
      </c>
      <c r="AN47" s="80">
        <v>0.072</v>
      </c>
      <c r="AO47" s="80">
        <v>0.164</v>
      </c>
      <c r="AP47" s="80">
        <v>0.193</v>
      </c>
      <c r="AQ47" s="80">
        <v>0.117</v>
      </c>
      <c r="AR47" s="80">
        <v>0.051</v>
      </c>
      <c r="AS47" s="80">
        <v>0.143</v>
      </c>
      <c r="AT47" s="80">
        <v>0.1361</v>
      </c>
      <c r="AU47" s="80">
        <v>0.118</v>
      </c>
      <c r="AV47" s="80">
        <v>0.027</v>
      </c>
      <c r="AW47" s="80">
        <v>0.129</v>
      </c>
      <c r="AX47" s="80">
        <v>0.132</v>
      </c>
      <c r="AY47" s="80">
        <v>0.1105</v>
      </c>
      <c r="AZ47" s="80">
        <v>0.06</v>
      </c>
      <c r="BA47" s="80">
        <v>0.023</v>
      </c>
      <c r="BB47" s="80">
        <v>0.0992</v>
      </c>
      <c r="BC47" s="80">
        <v>0.0768</v>
      </c>
      <c r="BD47" s="80">
        <v>0.05</v>
      </c>
      <c r="BE47" s="80">
        <v>0.036</v>
      </c>
      <c r="BF47" s="80">
        <v>0.0024</v>
      </c>
      <c r="BG47" s="80">
        <v>0.011</v>
      </c>
      <c r="BH47" s="80">
        <v>0.438</v>
      </c>
      <c r="BI47" s="80">
        <v>0.32</v>
      </c>
      <c r="BJ47" s="80">
        <v>0.0</v>
      </c>
      <c r="BK47" s="80">
        <v>0.045</v>
      </c>
      <c r="BL47" s="80">
        <v>0.1392</v>
      </c>
      <c r="BM47" s="80">
        <v>0.088</v>
      </c>
      <c r="BN47" s="80">
        <v>0.045</v>
      </c>
      <c r="BO47" s="80">
        <v>0.2</v>
      </c>
      <c r="BP47" s="80">
        <v>0.15</v>
      </c>
      <c r="BQ47" s="80">
        <v>0.1</v>
      </c>
      <c r="BR47" s="8"/>
    </row>
    <row r="48" ht="12.0" customHeight="1">
      <c r="A48" s="67" t="s">
        <v>392</v>
      </c>
      <c r="B48" s="80">
        <v>0.0</v>
      </c>
      <c r="C48" s="80">
        <v>0.0</v>
      </c>
      <c r="D48" s="80">
        <v>0.0</v>
      </c>
      <c r="E48" s="80">
        <v>0.0</v>
      </c>
      <c r="F48" s="80">
        <v>0.0351</v>
      </c>
      <c r="G48" s="80">
        <v>0.0569</v>
      </c>
      <c r="H48" s="80">
        <v>0.03373333333333333</v>
      </c>
      <c r="I48" s="80">
        <v>0.0</v>
      </c>
      <c r="J48" s="80">
        <v>0.03</v>
      </c>
      <c r="K48" s="80">
        <v>0.001</v>
      </c>
      <c r="L48" s="80">
        <v>0.261</v>
      </c>
      <c r="M48" s="80">
        <v>0.0</v>
      </c>
      <c r="N48" s="80">
        <v>0.0374</v>
      </c>
      <c r="O48" s="80">
        <v>0.0</v>
      </c>
      <c r="P48" s="80">
        <v>0.0</v>
      </c>
      <c r="Q48" s="80">
        <v>0.01</v>
      </c>
      <c r="R48" s="80">
        <v>0.0082</v>
      </c>
      <c r="S48" s="80">
        <v>0.035</v>
      </c>
      <c r="T48" s="80">
        <v>0.012</v>
      </c>
      <c r="U48" s="80">
        <v>0.0544</v>
      </c>
      <c r="V48" s="80">
        <v>0.0027</v>
      </c>
      <c r="W48" s="80">
        <v>0.0172</v>
      </c>
      <c r="X48" s="80">
        <v>0.002</v>
      </c>
      <c r="Y48" s="80">
        <v>0.0204</v>
      </c>
      <c r="Z48" s="80">
        <v>0.0</v>
      </c>
      <c r="AA48" s="80">
        <v>0.1159</v>
      </c>
      <c r="AB48" s="80">
        <v>0.0277</v>
      </c>
      <c r="AC48" s="80">
        <v>0.343</v>
      </c>
      <c r="AD48" s="80">
        <v>0.046</v>
      </c>
      <c r="AE48" s="80">
        <v>0.1087</v>
      </c>
      <c r="AF48" s="80">
        <v>8.0E-4</v>
      </c>
      <c r="AG48" s="80">
        <v>0.0495</v>
      </c>
      <c r="AH48" s="80">
        <v>9.0E-4</v>
      </c>
      <c r="AI48" s="80"/>
      <c r="AJ48" s="80">
        <v>0.08</v>
      </c>
      <c r="AK48" s="80">
        <v>0.0</v>
      </c>
      <c r="AL48" s="80">
        <v>0.0417</v>
      </c>
      <c r="AM48" s="80">
        <v>0.00202895</v>
      </c>
      <c r="AN48" s="80">
        <v>0.022</v>
      </c>
      <c r="AO48" s="80">
        <v>0.113</v>
      </c>
      <c r="AP48" s="80">
        <v>0.013</v>
      </c>
      <c r="AQ48" s="80"/>
      <c r="AR48" s="80"/>
      <c r="AS48" s="80">
        <v>0.0924</v>
      </c>
      <c r="AT48" s="80">
        <v>0.0104</v>
      </c>
      <c r="AU48" s="80"/>
      <c r="AV48" s="80">
        <v>0.021</v>
      </c>
      <c r="AW48" s="80">
        <v>0.029</v>
      </c>
      <c r="AX48" s="80">
        <v>0.0</v>
      </c>
      <c r="AY48" s="80">
        <v>0.0342</v>
      </c>
      <c r="AZ48" s="80">
        <v>0.0</v>
      </c>
      <c r="BA48" s="80"/>
      <c r="BB48" s="80">
        <v>0.0152</v>
      </c>
      <c r="BC48" s="80">
        <v>0.027</v>
      </c>
      <c r="BD48" s="80">
        <v>0.0</v>
      </c>
      <c r="BE48" s="80">
        <v>0.034</v>
      </c>
      <c r="BF48" s="80">
        <v>0.0025</v>
      </c>
      <c r="BG48" s="80">
        <v>0.015</v>
      </c>
      <c r="BH48" s="80">
        <v>0.09</v>
      </c>
      <c r="BI48" s="80">
        <v>0.013</v>
      </c>
      <c r="BJ48" s="80">
        <v>0.0</v>
      </c>
      <c r="BK48" s="80"/>
      <c r="BL48" s="80"/>
      <c r="BM48" s="80">
        <v>0.0502</v>
      </c>
      <c r="BN48" s="80">
        <v>0.0386</v>
      </c>
      <c r="BO48" s="80">
        <v>0.09166666666666667</v>
      </c>
      <c r="BP48" s="80">
        <v>0.025</v>
      </c>
      <c r="BQ48" s="80">
        <v>0.0</v>
      </c>
      <c r="BR48" s="8"/>
    </row>
    <row r="49" ht="12.0" customHeight="1">
      <c r="A49" s="66"/>
      <c r="B49" s="80"/>
      <c r="C49" s="80"/>
      <c r="D49" s="80"/>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80"/>
      <c r="BK49" s="80"/>
      <c r="BL49" s="80"/>
      <c r="BM49" s="80"/>
      <c r="BN49" s="80"/>
      <c r="BO49" s="80"/>
      <c r="BP49" s="80"/>
      <c r="BQ49" s="80"/>
      <c r="BR49" s="8"/>
    </row>
    <row r="50" ht="12.0" customHeight="1">
      <c r="A50" s="82"/>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80"/>
      <c r="BK50" s="80"/>
      <c r="BL50" s="80"/>
      <c r="BM50" s="80"/>
      <c r="BN50" s="80"/>
      <c r="BO50" s="80"/>
      <c r="BP50" s="80"/>
      <c r="BQ50" s="80"/>
      <c r="BR50" s="83"/>
    </row>
    <row r="51" ht="12.0" customHeight="1">
      <c r="A51" s="82"/>
      <c r="B51" s="63"/>
      <c r="C51" s="63"/>
      <c r="D51" s="63"/>
      <c r="E51" s="63"/>
      <c r="F51" s="63"/>
      <c r="G51" s="63"/>
      <c r="H51" s="63"/>
      <c r="I51" s="63"/>
      <c r="J51" s="63"/>
      <c r="K51" s="63"/>
      <c r="L51" s="63"/>
      <c r="M51" s="63"/>
      <c r="N51" s="63"/>
      <c r="O51" s="63"/>
      <c r="P51" s="63"/>
      <c r="Q51" s="63"/>
      <c r="R51" s="63"/>
      <c r="S51" s="63"/>
      <c r="T51" s="63"/>
      <c r="U51" s="63"/>
      <c r="V51" s="63"/>
      <c r="W51" s="63"/>
      <c r="X51" s="63"/>
      <c r="Y51" s="63"/>
      <c r="Z51" s="84"/>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8"/>
    </row>
    <row r="52" ht="12.0" customHeight="1">
      <c r="A52" s="69"/>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8"/>
    </row>
    <row r="53" ht="12.0" customHeight="1">
      <c r="A53" s="69"/>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8"/>
    </row>
    <row r="54" ht="12.0" customHeight="1">
      <c r="A54" s="69"/>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8"/>
    </row>
    <row r="55" ht="12.0" customHeight="1">
      <c r="A55" s="69"/>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8"/>
    </row>
    <row r="56" ht="12.0" customHeight="1">
      <c r="A56" s="69"/>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8"/>
    </row>
    <row r="57" ht="12.0" customHeight="1">
      <c r="A57" s="69"/>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8"/>
    </row>
    <row r="58" ht="12.0" customHeight="1">
      <c r="A58" s="69"/>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8"/>
    </row>
    <row r="59" ht="12.0" customHeight="1">
      <c r="A59" s="69"/>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8"/>
    </row>
    <row r="60" ht="12.0" customHeight="1">
      <c r="A60" s="69"/>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8"/>
    </row>
    <row r="61" ht="12.0" customHeight="1">
      <c r="A61" s="69"/>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8"/>
    </row>
    <row r="62" ht="12.0" customHeight="1">
      <c r="A62" s="69"/>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8"/>
    </row>
    <row r="63" ht="12.0" customHeight="1">
      <c r="A63" s="69"/>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8"/>
    </row>
    <row r="64" ht="12.0" customHeight="1">
      <c r="A64" s="69"/>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8"/>
    </row>
    <row r="65" ht="12.0" customHeight="1">
      <c r="A65" s="69"/>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8"/>
    </row>
    <row r="66" ht="12.0" customHeight="1">
      <c r="A66" s="69"/>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8"/>
    </row>
    <row r="67" ht="12.0" customHeight="1">
      <c r="A67" s="69"/>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8"/>
    </row>
    <row r="68" ht="12.0" customHeight="1">
      <c r="A68" s="69"/>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8"/>
    </row>
    <row r="69" ht="12.0" customHeight="1">
      <c r="A69" s="69"/>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8"/>
    </row>
    <row r="70" ht="12.0" customHeight="1">
      <c r="A70" s="69"/>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8"/>
    </row>
    <row r="71" ht="12.0" customHeight="1">
      <c r="A71" s="69"/>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8"/>
    </row>
    <row r="72" ht="12.0" customHeight="1">
      <c r="A72" s="69"/>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8"/>
    </row>
    <row r="73" ht="12.0" customHeight="1">
      <c r="A73" s="69"/>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8"/>
    </row>
    <row r="74" ht="12.0" customHeight="1">
      <c r="A74" s="69"/>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8"/>
    </row>
    <row r="75" ht="12.0" customHeight="1">
      <c r="A75" s="69"/>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8"/>
    </row>
    <row r="76" ht="12.0" customHeight="1">
      <c r="A76" s="69"/>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8"/>
    </row>
    <row r="77" ht="12.0" customHeight="1">
      <c r="A77" s="69"/>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8"/>
    </row>
    <row r="78" ht="12.0" customHeight="1">
      <c r="A78" s="69"/>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8"/>
    </row>
    <row r="79" ht="12.0" customHeight="1">
      <c r="A79" s="69"/>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69"/>
      <c r="AS79" s="69"/>
      <c r="AT79" s="69"/>
      <c r="AU79" s="69"/>
      <c r="AV79" s="69"/>
      <c r="AW79" s="69"/>
      <c r="AX79" s="69"/>
      <c r="AY79" s="69"/>
      <c r="AZ79" s="69"/>
      <c r="BA79" s="69"/>
      <c r="BB79" s="69"/>
      <c r="BC79" s="69"/>
      <c r="BD79" s="69"/>
      <c r="BE79" s="69"/>
      <c r="BF79" s="69"/>
      <c r="BG79" s="69"/>
      <c r="BH79" s="69"/>
      <c r="BI79" s="69"/>
      <c r="BJ79" s="69"/>
      <c r="BK79" s="69"/>
      <c r="BL79" s="69"/>
      <c r="BM79" s="69"/>
      <c r="BN79" s="69"/>
      <c r="BO79" s="69"/>
      <c r="BP79" s="69"/>
      <c r="BQ79" s="69"/>
      <c r="BR79" s="8"/>
    </row>
    <row r="80" ht="12.0" customHeight="1">
      <c r="A80" s="69"/>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69"/>
      <c r="AS80" s="69"/>
      <c r="AT80" s="69"/>
      <c r="AU80" s="69"/>
      <c r="AV80" s="69"/>
      <c r="AW80" s="69"/>
      <c r="AX80" s="69"/>
      <c r="AY80" s="69"/>
      <c r="AZ80" s="69"/>
      <c r="BA80" s="69"/>
      <c r="BB80" s="69"/>
      <c r="BC80" s="69"/>
      <c r="BD80" s="69"/>
      <c r="BE80" s="69"/>
      <c r="BF80" s="69"/>
      <c r="BG80" s="69"/>
      <c r="BH80" s="69"/>
      <c r="BI80" s="69"/>
      <c r="BJ80" s="69"/>
      <c r="BK80" s="69"/>
      <c r="BL80" s="69"/>
      <c r="BM80" s="69"/>
      <c r="BN80" s="69"/>
      <c r="BO80" s="69"/>
      <c r="BP80" s="69"/>
      <c r="BQ80" s="69"/>
      <c r="BR80" s="8"/>
    </row>
    <row r="81" ht="12.0" customHeight="1">
      <c r="A81" s="69"/>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69"/>
      <c r="AS81" s="69"/>
      <c r="AT81" s="69"/>
      <c r="AU81" s="69"/>
      <c r="AV81" s="69"/>
      <c r="AW81" s="69"/>
      <c r="AX81" s="69"/>
      <c r="AY81" s="69"/>
      <c r="AZ81" s="69"/>
      <c r="BA81" s="69"/>
      <c r="BB81" s="69"/>
      <c r="BC81" s="69"/>
      <c r="BD81" s="69"/>
      <c r="BE81" s="69"/>
      <c r="BF81" s="69"/>
      <c r="BG81" s="69"/>
      <c r="BH81" s="69"/>
      <c r="BI81" s="69"/>
      <c r="BJ81" s="69"/>
      <c r="BK81" s="69"/>
      <c r="BL81" s="69"/>
      <c r="BM81" s="69"/>
      <c r="BN81" s="69"/>
      <c r="BO81" s="69"/>
      <c r="BP81" s="69"/>
      <c r="BQ81" s="69"/>
      <c r="BR81" s="8"/>
    </row>
    <row r="82" ht="12.0" customHeight="1">
      <c r="A82" s="69"/>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69"/>
      <c r="AS82" s="69"/>
      <c r="AT82" s="69"/>
      <c r="AU82" s="69"/>
      <c r="AV82" s="69"/>
      <c r="AW82" s="69"/>
      <c r="AX82" s="69"/>
      <c r="AY82" s="69"/>
      <c r="AZ82" s="69"/>
      <c r="BA82" s="69"/>
      <c r="BB82" s="69"/>
      <c r="BC82" s="69"/>
      <c r="BD82" s="69"/>
      <c r="BE82" s="69"/>
      <c r="BF82" s="69"/>
      <c r="BG82" s="69"/>
      <c r="BH82" s="69"/>
      <c r="BI82" s="69"/>
      <c r="BJ82" s="69"/>
      <c r="BK82" s="69"/>
      <c r="BL82" s="69"/>
      <c r="BM82" s="69"/>
      <c r="BN82" s="69"/>
      <c r="BO82" s="69"/>
      <c r="BP82" s="69"/>
      <c r="BQ82" s="69"/>
      <c r="BR82" s="8"/>
    </row>
    <row r="83" ht="12.0" customHeight="1">
      <c r="A83" s="69"/>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69"/>
      <c r="AS83" s="69"/>
      <c r="AT83" s="69"/>
      <c r="AU83" s="69"/>
      <c r="AV83" s="69"/>
      <c r="AW83" s="69"/>
      <c r="AX83" s="69"/>
      <c r="AY83" s="69"/>
      <c r="AZ83" s="69"/>
      <c r="BA83" s="69"/>
      <c r="BB83" s="69"/>
      <c r="BC83" s="69"/>
      <c r="BD83" s="69"/>
      <c r="BE83" s="69"/>
      <c r="BF83" s="69"/>
      <c r="BG83" s="69"/>
      <c r="BH83" s="69"/>
      <c r="BI83" s="69"/>
      <c r="BJ83" s="69"/>
      <c r="BK83" s="69"/>
      <c r="BL83" s="69"/>
      <c r="BM83" s="69"/>
      <c r="BN83" s="69"/>
      <c r="BO83" s="69"/>
      <c r="BP83" s="69"/>
      <c r="BQ83" s="69"/>
      <c r="BR83" s="8"/>
    </row>
    <row r="84" ht="12.0" customHeight="1">
      <c r="A84" s="69"/>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69"/>
      <c r="AS84" s="69"/>
      <c r="AT84" s="69"/>
      <c r="AU84" s="69"/>
      <c r="AV84" s="69"/>
      <c r="AW84" s="69"/>
      <c r="AX84" s="69"/>
      <c r="AY84" s="69"/>
      <c r="AZ84" s="69"/>
      <c r="BA84" s="69"/>
      <c r="BB84" s="69"/>
      <c r="BC84" s="69"/>
      <c r="BD84" s="69"/>
      <c r="BE84" s="69"/>
      <c r="BF84" s="69"/>
      <c r="BG84" s="69"/>
      <c r="BH84" s="69"/>
      <c r="BI84" s="69"/>
      <c r="BJ84" s="69"/>
      <c r="BK84" s="69"/>
      <c r="BL84" s="69"/>
      <c r="BM84" s="69"/>
      <c r="BN84" s="69"/>
      <c r="BO84" s="69"/>
      <c r="BP84" s="69"/>
      <c r="BQ84" s="69"/>
      <c r="BR84" s="8"/>
    </row>
    <row r="85" ht="12.0" customHeight="1">
      <c r="A85" s="69"/>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69"/>
      <c r="AS85" s="69"/>
      <c r="AT85" s="69"/>
      <c r="AU85" s="69"/>
      <c r="AV85" s="69"/>
      <c r="AW85" s="69"/>
      <c r="AX85" s="69"/>
      <c r="AY85" s="69"/>
      <c r="AZ85" s="69"/>
      <c r="BA85" s="69"/>
      <c r="BB85" s="69"/>
      <c r="BC85" s="69"/>
      <c r="BD85" s="69"/>
      <c r="BE85" s="69"/>
      <c r="BF85" s="69"/>
      <c r="BG85" s="69"/>
      <c r="BH85" s="69"/>
      <c r="BI85" s="69"/>
      <c r="BJ85" s="69"/>
      <c r="BK85" s="69"/>
      <c r="BL85" s="69"/>
      <c r="BM85" s="69"/>
      <c r="BN85" s="69"/>
      <c r="BO85" s="69"/>
      <c r="BP85" s="69"/>
      <c r="BQ85" s="69"/>
      <c r="BR85" s="8"/>
    </row>
    <row r="86" ht="12.0" customHeight="1">
      <c r="A86" s="69"/>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69"/>
      <c r="AS86" s="69"/>
      <c r="AT86" s="69"/>
      <c r="AU86" s="69"/>
      <c r="AV86" s="69"/>
      <c r="AW86" s="69"/>
      <c r="AX86" s="69"/>
      <c r="AY86" s="69"/>
      <c r="AZ86" s="69"/>
      <c r="BA86" s="69"/>
      <c r="BB86" s="69"/>
      <c r="BC86" s="69"/>
      <c r="BD86" s="69"/>
      <c r="BE86" s="69"/>
      <c r="BF86" s="69"/>
      <c r="BG86" s="69"/>
      <c r="BH86" s="69"/>
      <c r="BI86" s="69"/>
      <c r="BJ86" s="69"/>
      <c r="BK86" s="69"/>
      <c r="BL86" s="69"/>
      <c r="BM86" s="69"/>
      <c r="BN86" s="69"/>
      <c r="BO86" s="69"/>
      <c r="BP86" s="69"/>
      <c r="BQ86" s="69"/>
      <c r="BR86" s="8"/>
    </row>
    <row r="87" ht="12.0" customHeight="1">
      <c r="A87" s="69"/>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69"/>
      <c r="AS87" s="69"/>
      <c r="AT87" s="69"/>
      <c r="AU87" s="69"/>
      <c r="AV87" s="69"/>
      <c r="AW87" s="69"/>
      <c r="AX87" s="69"/>
      <c r="AY87" s="69"/>
      <c r="AZ87" s="69"/>
      <c r="BA87" s="69"/>
      <c r="BB87" s="69"/>
      <c r="BC87" s="69"/>
      <c r="BD87" s="69"/>
      <c r="BE87" s="69"/>
      <c r="BF87" s="69"/>
      <c r="BG87" s="69"/>
      <c r="BH87" s="69"/>
      <c r="BI87" s="69"/>
      <c r="BJ87" s="69"/>
      <c r="BK87" s="69"/>
      <c r="BL87" s="69"/>
      <c r="BM87" s="69"/>
      <c r="BN87" s="69"/>
      <c r="BO87" s="69"/>
      <c r="BP87" s="69"/>
      <c r="BQ87" s="69"/>
      <c r="BR87" s="8"/>
    </row>
    <row r="88" ht="12.0" customHeight="1">
      <c r="A88" s="69"/>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c r="BP88" s="69"/>
      <c r="BQ88" s="69"/>
      <c r="BR88" s="8"/>
    </row>
    <row r="89" ht="12.0" customHeight="1">
      <c r="A89" s="69"/>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69"/>
      <c r="AS89" s="69"/>
      <c r="AT89" s="69"/>
      <c r="AU89" s="69"/>
      <c r="AV89" s="69"/>
      <c r="AW89" s="69"/>
      <c r="AX89" s="69"/>
      <c r="AY89" s="69"/>
      <c r="AZ89" s="69"/>
      <c r="BA89" s="69"/>
      <c r="BB89" s="69"/>
      <c r="BC89" s="69"/>
      <c r="BD89" s="69"/>
      <c r="BE89" s="69"/>
      <c r="BF89" s="69"/>
      <c r="BG89" s="69"/>
      <c r="BH89" s="69"/>
      <c r="BI89" s="69"/>
      <c r="BJ89" s="69"/>
      <c r="BK89" s="69"/>
      <c r="BL89" s="69"/>
      <c r="BM89" s="69"/>
      <c r="BN89" s="69"/>
      <c r="BO89" s="69"/>
      <c r="BP89" s="69"/>
      <c r="BQ89" s="69"/>
      <c r="BR89" s="8"/>
    </row>
    <row r="90" ht="12.0" customHeight="1">
      <c r="A90" s="69"/>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69"/>
      <c r="AS90" s="69"/>
      <c r="AT90" s="69"/>
      <c r="AU90" s="69"/>
      <c r="AV90" s="69"/>
      <c r="AW90" s="69"/>
      <c r="AX90" s="69"/>
      <c r="AY90" s="69"/>
      <c r="AZ90" s="69"/>
      <c r="BA90" s="69"/>
      <c r="BB90" s="69"/>
      <c r="BC90" s="69"/>
      <c r="BD90" s="69"/>
      <c r="BE90" s="69"/>
      <c r="BF90" s="69"/>
      <c r="BG90" s="69"/>
      <c r="BH90" s="69"/>
      <c r="BI90" s="69"/>
      <c r="BJ90" s="69"/>
      <c r="BK90" s="69"/>
      <c r="BL90" s="69"/>
      <c r="BM90" s="69"/>
      <c r="BN90" s="69"/>
      <c r="BO90" s="69"/>
      <c r="BP90" s="69"/>
      <c r="BQ90" s="69"/>
      <c r="BR90" s="8"/>
    </row>
    <row r="91" ht="12.0" customHeight="1">
      <c r="A91" s="69"/>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69"/>
      <c r="AS91" s="69"/>
      <c r="AT91" s="69"/>
      <c r="AU91" s="69"/>
      <c r="AV91" s="69"/>
      <c r="AW91" s="69"/>
      <c r="AX91" s="69"/>
      <c r="AY91" s="69"/>
      <c r="AZ91" s="69"/>
      <c r="BA91" s="69"/>
      <c r="BB91" s="69"/>
      <c r="BC91" s="69"/>
      <c r="BD91" s="69"/>
      <c r="BE91" s="69"/>
      <c r="BF91" s="69"/>
      <c r="BG91" s="69"/>
      <c r="BH91" s="69"/>
      <c r="BI91" s="69"/>
      <c r="BJ91" s="69"/>
      <c r="BK91" s="69"/>
      <c r="BL91" s="69"/>
      <c r="BM91" s="69"/>
      <c r="BN91" s="69"/>
      <c r="BO91" s="69"/>
      <c r="BP91" s="69"/>
      <c r="BQ91" s="69"/>
      <c r="BR91" s="8"/>
    </row>
    <row r="92" ht="12.0" customHeight="1">
      <c r="A92" s="69"/>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69"/>
      <c r="AS92" s="69"/>
      <c r="AT92" s="69"/>
      <c r="AU92" s="69"/>
      <c r="AV92" s="69"/>
      <c r="AW92" s="69"/>
      <c r="AX92" s="69"/>
      <c r="AY92" s="69"/>
      <c r="AZ92" s="69"/>
      <c r="BA92" s="69"/>
      <c r="BB92" s="69"/>
      <c r="BC92" s="69"/>
      <c r="BD92" s="69"/>
      <c r="BE92" s="69"/>
      <c r="BF92" s="69"/>
      <c r="BG92" s="69"/>
      <c r="BH92" s="69"/>
      <c r="BI92" s="69"/>
      <c r="BJ92" s="69"/>
      <c r="BK92" s="69"/>
      <c r="BL92" s="69"/>
      <c r="BM92" s="69"/>
      <c r="BN92" s="69"/>
      <c r="BO92" s="69"/>
      <c r="BP92" s="69"/>
      <c r="BQ92" s="69"/>
      <c r="BR92" s="8"/>
    </row>
    <row r="93" ht="12.0" customHeight="1">
      <c r="A93" s="69"/>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69"/>
      <c r="AS93" s="69"/>
      <c r="AT93" s="69"/>
      <c r="AU93" s="69"/>
      <c r="AV93" s="69"/>
      <c r="AW93" s="69"/>
      <c r="AX93" s="69"/>
      <c r="AY93" s="69"/>
      <c r="AZ93" s="69"/>
      <c r="BA93" s="69"/>
      <c r="BB93" s="69"/>
      <c r="BC93" s="69"/>
      <c r="BD93" s="69"/>
      <c r="BE93" s="69"/>
      <c r="BF93" s="69"/>
      <c r="BG93" s="69"/>
      <c r="BH93" s="69"/>
      <c r="BI93" s="69"/>
      <c r="BJ93" s="69"/>
      <c r="BK93" s="69"/>
      <c r="BL93" s="69"/>
      <c r="BM93" s="69"/>
      <c r="BN93" s="69"/>
      <c r="BO93" s="69"/>
      <c r="BP93" s="69"/>
      <c r="BQ93" s="69"/>
      <c r="BR93" s="8"/>
    </row>
    <row r="94" ht="12.0" customHeight="1">
      <c r="A94" s="69"/>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69"/>
      <c r="AS94" s="69"/>
      <c r="AT94" s="69"/>
      <c r="AU94" s="69"/>
      <c r="AV94" s="69"/>
      <c r="AW94" s="69"/>
      <c r="AX94" s="69"/>
      <c r="AY94" s="69"/>
      <c r="AZ94" s="69"/>
      <c r="BA94" s="69"/>
      <c r="BB94" s="69"/>
      <c r="BC94" s="69"/>
      <c r="BD94" s="69"/>
      <c r="BE94" s="69"/>
      <c r="BF94" s="69"/>
      <c r="BG94" s="69"/>
      <c r="BH94" s="69"/>
      <c r="BI94" s="69"/>
      <c r="BJ94" s="69"/>
      <c r="BK94" s="69"/>
      <c r="BL94" s="69"/>
      <c r="BM94" s="69"/>
      <c r="BN94" s="69"/>
      <c r="BO94" s="69"/>
      <c r="BP94" s="69"/>
      <c r="BQ94" s="69"/>
      <c r="BR94" s="8"/>
    </row>
    <row r="95" ht="12.0" customHeight="1">
      <c r="A95" s="69"/>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69"/>
      <c r="AS95" s="69"/>
      <c r="AT95" s="69"/>
      <c r="AU95" s="69"/>
      <c r="AV95" s="69"/>
      <c r="AW95" s="69"/>
      <c r="AX95" s="69"/>
      <c r="AY95" s="69"/>
      <c r="AZ95" s="69"/>
      <c r="BA95" s="69"/>
      <c r="BB95" s="69"/>
      <c r="BC95" s="69"/>
      <c r="BD95" s="69"/>
      <c r="BE95" s="69"/>
      <c r="BF95" s="69"/>
      <c r="BG95" s="69"/>
      <c r="BH95" s="69"/>
      <c r="BI95" s="69"/>
      <c r="BJ95" s="69"/>
      <c r="BK95" s="69"/>
      <c r="BL95" s="69"/>
      <c r="BM95" s="69"/>
      <c r="BN95" s="69"/>
      <c r="BO95" s="69"/>
      <c r="BP95" s="69"/>
      <c r="BQ95" s="69"/>
      <c r="BR95" s="8"/>
    </row>
    <row r="96" ht="12.0" customHeight="1">
      <c r="A96" s="69"/>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69"/>
      <c r="AS96" s="69"/>
      <c r="AT96" s="69"/>
      <c r="AU96" s="69"/>
      <c r="AV96" s="69"/>
      <c r="AW96" s="69"/>
      <c r="AX96" s="69"/>
      <c r="AY96" s="69"/>
      <c r="AZ96" s="69"/>
      <c r="BA96" s="69"/>
      <c r="BB96" s="69"/>
      <c r="BC96" s="69"/>
      <c r="BD96" s="69"/>
      <c r="BE96" s="69"/>
      <c r="BF96" s="69"/>
      <c r="BG96" s="69"/>
      <c r="BH96" s="69"/>
      <c r="BI96" s="69"/>
      <c r="BJ96" s="69"/>
      <c r="BK96" s="69"/>
      <c r="BL96" s="69"/>
      <c r="BM96" s="69"/>
      <c r="BN96" s="69"/>
      <c r="BO96" s="69"/>
      <c r="BP96" s="69"/>
      <c r="BQ96" s="69"/>
      <c r="BR96" s="8"/>
    </row>
    <row r="97" ht="12.0" customHeight="1">
      <c r="A97" s="69"/>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69"/>
      <c r="AS97" s="69"/>
      <c r="AT97" s="69"/>
      <c r="AU97" s="69"/>
      <c r="AV97" s="69"/>
      <c r="AW97" s="69"/>
      <c r="AX97" s="69"/>
      <c r="AY97" s="69"/>
      <c r="AZ97" s="69"/>
      <c r="BA97" s="69"/>
      <c r="BB97" s="69"/>
      <c r="BC97" s="69"/>
      <c r="BD97" s="69"/>
      <c r="BE97" s="69"/>
      <c r="BF97" s="69"/>
      <c r="BG97" s="69"/>
      <c r="BH97" s="69"/>
      <c r="BI97" s="69"/>
      <c r="BJ97" s="69"/>
      <c r="BK97" s="69"/>
      <c r="BL97" s="69"/>
      <c r="BM97" s="69"/>
      <c r="BN97" s="69"/>
      <c r="BO97" s="69"/>
      <c r="BP97" s="69"/>
      <c r="BQ97" s="69"/>
      <c r="BR97" s="8"/>
    </row>
    <row r="98" ht="12.0" customHeight="1">
      <c r="A98" s="69"/>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69"/>
      <c r="AS98" s="69"/>
      <c r="AT98" s="69"/>
      <c r="AU98" s="69"/>
      <c r="AV98" s="69"/>
      <c r="AW98" s="69"/>
      <c r="AX98" s="69"/>
      <c r="AY98" s="69"/>
      <c r="AZ98" s="69"/>
      <c r="BA98" s="69"/>
      <c r="BB98" s="69"/>
      <c r="BC98" s="69"/>
      <c r="BD98" s="69"/>
      <c r="BE98" s="69"/>
      <c r="BF98" s="69"/>
      <c r="BG98" s="69"/>
      <c r="BH98" s="69"/>
      <c r="BI98" s="69"/>
      <c r="BJ98" s="69"/>
      <c r="BK98" s="69"/>
      <c r="BL98" s="69"/>
      <c r="BM98" s="69"/>
      <c r="BN98" s="69"/>
      <c r="BO98" s="69"/>
      <c r="BP98" s="69"/>
      <c r="BQ98" s="69"/>
      <c r="BR98" s="8"/>
    </row>
    <row r="99" ht="12.0" customHeight="1">
      <c r="A99" s="69"/>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69"/>
      <c r="AS99" s="69"/>
      <c r="AT99" s="69"/>
      <c r="AU99" s="69"/>
      <c r="AV99" s="69"/>
      <c r="AW99" s="69"/>
      <c r="AX99" s="69"/>
      <c r="AY99" s="69"/>
      <c r="AZ99" s="69"/>
      <c r="BA99" s="69"/>
      <c r="BB99" s="69"/>
      <c r="BC99" s="69"/>
      <c r="BD99" s="69"/>
      <c r="BE99" s="69"/>
      <c r="BF99" s="69"/>
      <c r="BG99" s="69"/>
      <c r="BH99" s="69"/>
      <c r="BI99" s="69"/>
      <c r="BJ99" s="69"/>
      <c r="BK99" s="69"/>
      <c r="BL99" s="69"/>
      <c r="BM99" s="69"/>
      <c r="BN99" s="69"/>
      <c r="BO99" s="69"/>
      <c r="BP99" s="69"/>
      <c r="BQ99" s="69"/>
      <c r="BR99" s="8"/>
    </row>
    <row r="100" ht="12.0" customHeight="1">
      <c r="A100" s="69"/>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69"/>
      <c r="AS100" s="69"/>
      <c r="AT100" s="69"/>
      <c r="AU100" s="69"/>
      <c r="AV100" s="69"/>
      <c r="AW100" s="69"/>
      <c r="AX100" s="69"/>
      <c r="AY100" s="69"/>
      <c r="AZ100" s="69"/>
      <c r="BA100" s="69"/>
      <c r="BB100" s="69"/>
      <c r="BC100" s="69"/>
      <c r="BD100" s="69"/>
      <c r="BE100" s="69"/>
      <c r="BF100" s="69"/>
      <c r="BG100" s="69"/>
      <c r="BH100" s="69"/>
      <c r="BI100" s="69"/>
      <c r="BJ100" s="69"/>
      <c r="BK100" s="69"/>
      <c r="BL100" s="69"/>
      <c r="BM100" s="69"/>
      <c r="BN100" s="69"/>
      <c r="BO100" s="69"/>
      <c r="BP100" s="69"/>
      <c r="BQ100" s="69"/>
      <c r="BR100" s="8"/>
    </row>
    <row r="101" ht="12.0" customHeight="1">
      <c r="A101" s="69"/>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69"/>
      <c r="AS101" s="69"/>
      <c r="AT101" s="69"/>
      <c r="AU101" s="69"/>
      <c r="AV101" s="69"/>
      <c r="AW101" s="69"/>
      <c r="AX101" s="69"/>
      <c r="AY101" s="69"/>
      <c r="AZ101" s="69"/>
      <c r="BA101" s="69"/>
      <c r="BB101" s="69"/>
      <c r="BC101" s="69"/>
      <c r="BD101" s="69"/>
      <c r="BE101" s="69"/>
      <c r="BF101" s="69"/>
      <c r="BG101" s="69"/>
      <c r="BH101" s="69"/>
      <c r="BI101" s="69"/>
      <c r="BJ101" s="69"/>
      <c r="BK101" s="69"/>
      <c r="BL101" s="69"/>
      <c r="BM101" s="69"/>
      <c r="BN101" s="69"/>
      <c r="BO101" s="69"/>
      <c r="BP101" s="69"/>
      <c r="BQ101" s="69"/>
      <c r="BR101" s="8"/>
    </row>
    <row r="102" ht="12.0" customHeight="1">
      <c r="A102" s="69"/>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69"/>
      <c r="AS102" s="69"/>
      <c r="AT102" s="69"/>
      <c r="AU102" s="69"/>
      <c r="AV102" s="69"/>
      <c r="AW102" s="69"/>
      <c r="AX102" s="69"/>
      <c r="AY102" s="69"/>
      <c r="AZ102" s="69"/>
      <c r="BA102" s="69"/>
      <c r="BB102" s="69"/>
      <c r="BC102" s="69"/>
      <c r="BD102" s="69"/>
      <c r="BE102" s="69"/>
      <c r="BF102" s="69"/>
      <c r="BG102" s="69"/>
      <c r="BH102" s="69"/>
      <c r="BI102" s="69"/>
      <c r="BJ102" s="69"/>
      <c r="BK102" s="69"/>
      <c r="BL102" s="69"/>
      <c r="BM102" s="69"/>
      <c r="BN102" s="69"/>
      <c r="BO102" s="69"/>
      <c r="BP102" s="69"/>
      <c r="BQ102" s="69"/>
      <c r="BR102" s="8"/>
    </row>
    <row r="103" ht="12.0" customHeight="1">
      <c r="A103" s="69"/>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69"/>
      <c r="AS103" s="69"/>
      <c r="AT103" s="69"/>
      <c r="AU103" s="69"/>
      <c r="AV103" s="69"/>
      <c r="AW103" s="69"/>
      <c r="AX103" s="69"/>
      <c r="AY103" s="69"/>
      <c r="AZ103" s="69"/>
      <c r="BA103" s="69"/>
      <c r="BB103" s="69"/>
      <c r="BC103" s="69"/>
      <c r="BD103" s="69"/>
      <c r="BE103" s="69"/>
      <c r="BF103" s="69"/>
      <c r="BG103" s="69"/>
      <c r="BH103" s="69"/>
      <c r="BI103" s="69"/>
      <c r="BJ103" s="69"/>
      <c r="BK103" s="69"/>
      <c r="BL103" s="69"/>
      <c r="BM103" s="69"/>
      <c r="BN103" s="69"/>
      <c r="BO103" s="69"/>
      <c r="BP103" s="69"/>
      <c r="BQ103" s="69"/>
      <c r="BR103" s="8"/>
    </row>
    <row r="104" ht="12.0" customHeight="1">
      <c r="A104" s="69"/>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69"/>
      <c r="AS104" s="69"/>
      <c r="AT104" s="69"/>
      <c r="AU104" s="69"/>
      <c r="AV104" s="69"/>
      <c r="AW104" s="69"/>
      <c r="AX104" s="69"/>
      <c r="AY104" s="69"/>
      <c r="AZ104" s="69"/>
      <c r="BA104" s="69"/>
      <c r="BB104" s="69"/>
      <c r="BC104" s="69"/>
      <c r="BD104" s="69"/>
      <c r="BE104" s="69"/>
      <c r="BF104" s="69"/>
      <c r="BG104" s="69"/>
      <c r="BH104" s="69"/>
      <c r="BI104" s="69"/>
      <c r="BJ104" s="69"/>
      <c r="BK104" s="69"/>
      <c r="BL104" s="69"/>
      <c r="BM104" s="69"/>
      <c r="BN104" s="69"/>
      <c r="BO104" s="69"/>
      <c r="BP104" s="69"/>
      <c r="BQ104" s="69"/>
      <c r="BR104" s="8"/>
    </row>
    <row r="105" ht="12.0" customHeight="1">
      <c r="A105" s="69"/>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69"/>
      <c r="AS105" s="69"/>
      <c r="AT105" s="69"/>
      <c r="AU105" s="69"/>
      <c r="AV105" s="69"/>
      <c r="AW105" s="69"/>
      <c r="AX105" s="69"/>
      <c r="AY105" s="69"/>
      <c r="AZ105" s="69"/>
      <c r="BA105" s="69"/>
      <c r="BB105" s="69"/>
      <c r="BC105" s="69"/>
      <c r="BD105" s="69"/>
      <c r="BE105" s="69"/>
      <c r="BF105" s="69"/>
      <c r="BG105" s="69"/>
      <c r="BH105" s="69"/>
      <c r="BI105" s="69"/>
      <c r="BJ105" s="69"/>
      <c r="BK105" s="69"/>
      <c r="BL105" s="69"/>
      <c r="BM105" s="69"/>
      <c r="BN105" s="69"/>
      <c r="BO105" s="69"/>
      <c r="BP105" s="69"/>
      <c r="BQ105" s="69"/>
      <c r="BR105" s="8"/>
    </row>
    <row r="106" ht="12.0" customHeight="1">
      <c r="A106" s="69"/>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69"/>
      <c r="AS106" s="69"/>
      <c r="AT106" s="69"/>
      <c r="AU106" s="69"/>
      <c r="AV106" s="69"/>
      <c r="AW106" s="69"/>
      <c r="AX106" s="69"/>
      <c r="AY106" s="69"/>
      <c r="AZ106" s="69"/>
      <c r="BA106" s="69"/>
      <c r="BB106" s="69"/>
      <c r="BC106" s="69"/>
      <c r="BD106" s="69"/>
      <c r="BE106" s="69"/>
      <c r="BF106" s="69"/>
      <c r="BG106" s="69"/>
      <c r="BH106" s="69"/>
      <c r="BI106" s="69"/>
      <c r="BJ106" s="69"/>
      <c r="BK106" s="69"/>
      <c r="BL106" s="69"/>
      <c r="BM106" s="69"/>
      <c r="BN106" s="69"/>
      <c r="BO106" s="69"/>
      <c r="BP106" s="69"/>
      <c r="BQ106" s="69"/>
      <c r="BR106" s="8"/>
    </row>
    <row r="107" ht="12.0" customHeight="1">
      <c r="A107" s="69"/>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69"/>
      <c r="AS107" s="69"/>
      <c r="AT107" s="69"/>
      <c r="AU107" s="69"/>
      <c r="AV107" s="69"/>
      <c r="AW107" s="69"/>
      <c r="AX107" s="69"/>
      <c r="AY107" s="69"/>
      <c r="AZ107" s="69"/>
      <c r="BA107" s="69"/>
      <c r="BB107" s="69"/>
      <c r="BC107" s="69"/>
      <c r="BD107" s="69"/>
      <c r="BE107" s="69"/>
      <c r="BF107" s="69"/>
      <c r="BG107" s="69"/>
      <c r="BH107" s="69"/>
      <c r="BI107" s="69"/>
      <c r="BJ107" s="69"/>
      <c r="BK107" s="69"/>
      <c r="BL107" s="69"/>
      <c r="BM107" s="69"/>
      <c r="BN107" s="69"/>
      <c r="BO107" s="69"/>
      <c r="BP107" s="69"/>
      <c r="BQ107" s="69"/>
      <c r="BR107" s="8"/>
    </row>
    <row r="108" ht="12.0" customHeight="1">
      <c r="A108" s="69"/>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c r="BN108" s="69"/>
      <c r="BO108" s="69"/>
      <c r="BP108" s="69"/>
      <c r="BQ108" s="69"/>
      <c r="BR108" s="8"/>
    </row>
    <row r="109" ht="12.0" customHeight="1">
      <c r="A109" s="69"/>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69"/>
      <c r="AS109" s="69"/>
      <c r="AT109" s="69"/>
      <c r="AU109" s="69"/>
      <c r="AV109" s="69"/>
      <c r="AW109" s="69"/>
      <c r="AX109" s="69"/>
      <c r="AY109" s="69"/>
      <c r="AZ109" s="69"/>
      <c r="BA109" s="69"/>
      <c r="BB109" s="69"/>
      <c r="BC109" s="69"/>
      <c r="BD109" s="69"/>
      <c r="BE109" s="69"/>
      <c r="BF109" s="69"/>
      <c r="BG109" s="69"/>
      <c r="BH109" s="69"/>
      <c r="BI109" s="69"/>
      <c r="BJ109" s="69"/>
      <c r="BK109" s="69"/>
      <c r="BL109" s="69"/>
      <c r="BM109" s="69"/>
      <c r="BN109" s="69"/>
      <c r="BO109" s="69"/>
      <c r="BP109" s="69"/>
      <c r="BQ109" s="69"/>
      <c r="BR109" s="8"/>
    </row>
    <row r="110" ht="12.0" customHeight="1">
      <c r="A110" s="69"/>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c r="BQ110" s="69"/>
      <c r="BR110" s="8"/>
    </row>
    <row r="111" ht="12.0" customHeight="1">
      <c r="A111" s="69"/>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c r="BQ111" s="69"/>
      <c r="BR111" s="8"/>
    </row>
    <row r="112" ht="12.0" customHeight="1">
      <c r="A112" s="69"/>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69"/>
      <c r="AS112" s="69"/>
      <c r="AT112" s="69"/>
      <c r="AU112" s="69"/>
      <c r="AV112" s="69"/>
      <c r="AW112" s="69"/>
      <c r="AX112" s="69"/>
      <c r="AY112" s="69"/>
      <c r="AZ112" s="69"/>
      <c r="BA112" s="69"/>
      <c r="BB112" s="69"/>
      <c r="BC112" s="69"/>
      <c r="BD112" s="69"/>
      <c r="BE112" s="69"/>
      <c r="BF112" s="69"/>
      <c r="BG112" s="69"/>
      <c r="BH112" s="69"/>
      <c r="BI112" s="69"/>
      <c r="BJ112" s="69"/>
      <c r="BK112" s="69"/>
      <c r="BL112" s="69"/>
      <c r="BM112" s="69"/>
      <c r="BN112" s="69"/>
      <c r="BO112" s="69"/>
      <c r="BP112" s="69"/>
      <c r="BQ112" s="69"/>
      <c r="BR112" s="8"/>
    </row>
    <row r="113" ht="12.0" customHeight="1">
      <c r="A113" s="69"/>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69"/>
      <c r="AS113" s="69"/>
      <c r="AT113" s="69"/>
      <c r="AU113" s="69"/>
      <c r="AV113" s="69"/>
      <c r="AW113" s="69"/>
      <c r="AX113" s="69"/>
      <c r="AY113" s="69"/>
      <c r="AZ113" s="69"/>
      <c r="BA113" s="69"/>
      <c r="BB113" s="69"/>
      <c r="BC113" s="69"/>
      <c r="BD113" s="69"/>
      <c r="BE113" s="69"/>
      <c r="BF113" s="69"/>
      <c r="BG113" s="69"/>
      <c r="BH113" s="69"/>
      <c r="BI113" s="69"/>
      <c r="BJ113" s="69"/>
      <c r="BK113" s="69"/>
      <c r="BL113" s="69"/>
      <c r="BM113" s="69"/>
      <c r="BN113" s="69"/>
      <c r="BO113" s="69"/>
      <c r="BP113" s="69"/>
      <c r="BQ113" s="69"/>
      <c r="BR113" s="8"/>
    </row>
    <row r="114" ht="12.0" customHeight="1">
      <c r="A114" s="69"/>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69"/>
      <c r="AS114" s="69"/>
      <c r="AT114" s="69"/>
      <c r="AU114" s="69"/>
      <c r="AV114" s="69"/>
      <c r="AW114" s="69"/>
      <c r="AX114" s="69"/>
      <c r="AY114" s="69"/>
      <c r="AZ114" s="69"/>
      <c r="BA114" s="69"/>
      <c r="BB114" s="69"/>
      <c r="BC114" s="69"/>
      <c r="BD114" s="69"/>
      <c r="BE114" s="69"/>
      <c r="BF114" s="69"/>
      <c r="BG114" s="69"/>
      <c r="BH114" s="69"/>
      <c r="BI114" s="69"/>
      <c r="BJ114" s="69"/>
      <c r="BK114" s="69"/>
      <c r="BL114" s="69"/>
      <c r="BM114" s="69"/>
      <c r="BN114" s="69"/>
      <c r="BO114" s="69"/>
      <c r="BP114" s="69"/>
      <c r="BQ114" s="69"/>
      <c r="BR114" s="8"/>
    </row>
    <row r="115" ht="12.0" customHeight="1">
      <c r="A115" s="69"/>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69"/>
      <c r="AS115" s="69"/>
      <c r="AT115" s="69"/>
      <c r="AU115" s="69"/>
      <c r="AV115" s="69"/>
      <c r="AW115" s="69"/>
      <c r="AX115" s="69"/>
      <c r="AY115" s="69"/>
      <c r="AZ115" s="69"/>
      <c r="BA115" s="69"/>
      <c r="BB115" s="69"/>
      <c r="BC115" s="69"/>
      <c r="BD115" s="69"/>
      <c r="BE115" s="69"/>
      <c r="BF115" s="69"/>
      <c r="BG115" s="69"/>
      <c r="BH115" s="69"/>
      <c r="BI115" s="69"/>
      <c r="BJ115" s="69"/>
      <c r="BK115" s="69"/>
      <c r="BL115" s="69"/>
      <c r="BM115" s="69"/>
      <c r="BN115" s="69"/>
      <c r="BO115" s="69"/>
      <c r="BP115" s="69"/>
      <c r="BQ115" s="69"/>
      <c r="BR115" s="8"/>
    </row>
    <row r="116" ht="12.0" customHeight="1">
      <c r="A116" s="69"/>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69"/>
      <c r="AS116" s="69"/>
      <c r="AT116" s="69"/>
      <c r="AU116" s="69"/>
      <c r="AV116" s="69"/>
      <c r="AW116" s="69"/>
      <c r="AX116" s="69"/>
      <c r="AY116" s="69"/>
      <c r="AZ116" s="69"/>
      <c r="BA116" s="69"/>
      <c r="BB116" s="69"/>
      <c r="BC116" s="69"/>
      <c r="BD116" s="69"/>
      <c r="BE116" s="69"/>
      <c r="BF116" s="69"/>
      <c r="BG116" s="69"/>
      <c r="BH116" s="69"/>
      <c r="BI116" s="69"/>
      <c r="BJ116" s="69"/>
      <c r="BK116" s="69"/>
      <c r="BL116" s="69"/>
      <c r="BM116" s="69"/>
      <c r="BN116" s="69"/>
      <c r="BO116" s="69"/>
      <c r="BP116" s="69"/>
      <c r="BQ116" s="69"/>
      <c r="BR116" s="8"/>
    </row>
    <row r="117" ht="12.0" customHeight="1">
      <c r="A117" s="69"/>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69"/>
      <c r="AS117" s="69"/>
      <c r="AT117" s="69"/>
      <c r="AU117" s="69"/>
      <c r="AV117" s="69"/>
      <c r="AW117" s="69"/>
      <c r="AX117" s="69"/>
      <c r="AY117" s="69"/>
      <c r="AZ117" s="69"/>
      <c r="BA117" s="69"/>
      <c r="BB117" s="69"/>
      <c r="BC117" s="69"/>
      <c r="BD117" s="69"/>
      <c r="BE117" s="69"/>
      <c r="BF117" s="69"/>
      <c r="BG117" s="69"/>
      <c r="BH117" s="69"/>
      <c r="BI117" s="69"/>
      <c r="BJ117" s="69"/>
      <c r="BK117" s="69"/>
      <c r="BL117" s="69"/>
      <c r="BM117" s="69"/>
      <c r="BN117" s="69"/>
      <c r="BO117" s="69"/>
      <c r="BP117" s="69"/>
      <c r="BQ117" s="69"/>
      <c r="BR117" s="8"/>
    </row>
    <row r="118" ht="12.0" customHeight="1">
      <c r="A118" s="69"/>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69"/>
      <c r="AS118" s="69"/>
      <c r="AT118" s="69"/>
      <c r="AU118" s="69"/>
      <c r="AV118" s="69"/>
      <c r="AW118" s="69"/>
      <c r="AX118" s="69"/>
      <c r="AY118" s="69"/>
      <c r="AZ118" s="69"/>
      <c r="BA118" s="69"/>
      <c r="BB118" s="69"/>
      <c r="BC118" s="69"/>
      <c r="BD118" s="69"/>
      <c r="BE118" s="69"/>
      <c r="BF118" s="69"/>
      <c r="BG118" s="69"/>
      <c r="BH118" s="69"/>
      <c r="BI118" s="69"/>
      <c r="BJ118" s="69"/>
      <c r="BK118" s="69"/>
      <c r="BL118" s="69"/>
      <c r="BM118" s="69"/>
      <c r="BN118" s="69"/>
      <c r="BO118" s="69"/>
      <c r="BP118" s="69"/>
      <c r="BQ118" s="69"/>
      <c r="BR118" s="8"/>
    </row>
    <row r="119" ht="12.0" customHeight="1">
      <c r="A119" s="69"/>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69"/>
      <c r="AS119" s="69"/>
      <c r="AT119" s="69"/>
      <c r="AU119" s="69"/>
      <c r="AV119" s="69"/>
      <c r="AW119" s="69"/>
      <c r="AX119" s="69"/>
      <c r="AY119" s="69"/>
      <c r="AZ119" s="69"/>
      <c r="BA119" s="69"/>
      <c r="BB119" s="69"/>
      <c r="BC119" s="69"/>
      <c r="BD119" s="69"/>
      <c r="BE119" s="69"/>
      <c r="BF119" s="69"/>
      <c r="BG119" s="69"/>
      <c r="BH119" s="69"/>
      <c r="BI119" s="69"/>
      <c r="BJ119" s="69"/>
      <c r="BK119" s="69"/>
      <c r="BL119" s="69"/>
      <c r="BM119" s="69"/>
      <c r="BN119" s="69"/>
      <c r="BO119" s="69"/>
      <c r="BP119" s="69"/>
      <c r="BQ119" s="69"/>
      <c r="BR119" s="8"/>
    </row>
    <row r="120" ht="12.0" customHeight="1">
      <c r="A120" s="69"/>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69"/>
      <c r="AS120" s="69"/>
      <c r="AT120" s="69"/>
      <c r="AU120" s="69"/>
      <c r="AV120" s="69"/>
      <c r="AW120" s="69"/>
      <c r="AX120" s="69"/>
      <c r="AY120" s="69"/>
      <c r="AZ120" s="69"/>
      <c r="BA120" s="69"/>
      <c r="BB120" s="69"/>
      <c r="BC120" s="69"/>
      <c r="BD120" s="69"/>
      <c r="BE120" s="69"/>
      <c r="BF120" s="69"/>
      <c r="BG120" s="69"/>
      <c r="BH120" s="69"/>
      <c r="BI120" s="69"/>
      <c r="BJ120" s="69"/>
      <c r="BK120" s="69"/>
      <c r="BL120" s="69"/>
      <c r="BM120" s="69"/>
      <c r="BN120" s="69"/>
      <c r="BO120" s="69"/>
      <c r="BP120" s="69"/>
      <c r="BQ120" s="69"/>
      <c r="BR120" s="8"/>
    </row>
    <row r="121" ht="12.0" customHeight="1">
      <c r="A121" s="69"/>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8"/>
    </row>
    <row r="122" ht="12.0" customHeight="1">
      <c r="A122" s="69"/>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69"/>
      <c r="AS122" s="69"/>
      <c r="AT122" s="69"/>
      <c r="AU122" s="69"/>
      <c r="AV122" s="69"/>
      <c r="AW122" s="69"/>
      <c r="AX122" s="69"/>
      <c r="AY122" s="69"/>
      <c r="AZ122" s="69"/>
      <c r="BA122" s="69"/>
      <c r="BB122" s="69"/>
      <c r="BC122" s="69"/>
      <c r="BD122" s="69"/>
      <c r="BE122" s="69"/>
      <c r="BF122" s="69"/>
      <c r="BG122" s="69"/>
      <c r="BH122" s="69"/>
      <c r="BI122" s="69"/>
      <c r="BJ122" s="69"/>
      <c r="BK122" s="69"/>
      <c r="BL122" s="69"/>
      <c r="BM122" s="69"/>
      <c r="BN122" s="69"/>
      <c r="BO122" s="69"/>
      <c r="BP122" s="69"/>
      <c r="BQ122" s="69"/>
      <c r="BR122" s="8"/>
    </row>
    <row r="123" ht="12.0" customHeight="1">
      <c r="A123" s="69"/>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69"/>
      <c r="AS123" s="69"/>
      <c r="AT123" s="69"/>
      <c r="AU123" s="69"/>
      <c r="AV123" s="69"/>
      <c r="AW123" s="69"/>
      <c r="AX123" s="69"/>
      <c r="AY123" s="69"/>
      <c r="AZ123" s="69"/>
      <c r="BA123" s="69"/>
      <c r="BB123" s="69"/>
      <c r="BC123" s="69"/>
      <c r="BD123" s="69"/>
      <c r="BE123" s="69"/>
      <c r="BF123" s="69"/>
      <c r="BG123" s="69"/>
      <c r="BH123" s="69"/>
      <c r="BI123" s="69"/>
      <c r="BJ123" s="69"/>
      <c r="BK123" s="69"/>
      <c r="BL123" s="69"/>
      <c r="BM123" s="69"/>
      <c r="BN123" s="69"/>
      <c r="BO123" s="69"/>
      <c r="BP123" s="69"/>
      <c r="BQ123" s="69"/>
      <c r="BR123" s="8"/>
    </row>
    <row r="124" ht="12.0" customHeight="1">
      <c r="A124" s="69"/>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69"/>
      <c r="AS124" s="69"/>
      <c r="AT124" s="69"/>
      <c r="AU124" s="69"/>
      <c r="AV124" s="69"/>
      <c r="AW124" s="69"/>
      <c r="AX124" s="69"/>
      <c r="AY124" s="69"/>
      <c r="AZ124" s="69"/>
      <c r="BA124" s="69"/>
      <c r="BB124" s="69"/>
      <c r="BC124" s="69"/>
      <c r="BD124" s="69"/>
      <c r="BE124" s="69"/>
      <c r="BF124" s="69"/>
      <c r="BG124" s="69"/>
      <c r="BH124" s="69"/>
      <c r="BI124" s="69"/>
      <c r="BJ124" s="69"/>
      <c r="BK124" s="69"/>
      <c r="BL124" s="69"/>
      <c r="BM124" s="69"/>
      <c r="BN124" s="69"/>
      <c r="BO124" s="69"/>
      <c r="BP124" s="69"/>
      <c r="BQ124" s="69"/>
      <c r="BR124" s="8"/>
    </row>
    <row r="125" ht="12.0" customHeight="1">
      <c r="A125" s="69"/>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69"/>
      <c r="AS125" s="69"/>
      <c r="AT125" s="69"/>
      <c r="AU125" s="69"/>
      <c r="AV125" s="69"/>
      <c r="AW125" s="69"/>
      <c r="AX125" s="69"/>
      <c r="AY125" s="69"/>
      <c r="AZ125" s="69"/>
      <c r="BA125" s="69"/>
      <c r="BB125" s="69"/>
      <c r="BC125" s="69"/>
      <c r="BD125" s="69"/>
      <c r="BE125" s="69"/>
      <c r="BF125" s="69"/>
      <c r="BG125" s="69"/>
      <c r="BH125" s="69"/>
      <c r="BI125" s="69"/>
      <c r="BJ125" s="69"/>
      <c r="BK125" s="69"/>
      <c r="BL125" s="69"/>
      <c r="BM125" s="69"/>
      <c r="BN125" s="69"/>
      <c r="BO125" s="69"/>
      <c r="BP125" s="69"/>
      <c r="BQ125" s="69"/>
      <c r="BR125" s="8"/>
    </row>
    <row r="126" ht="12.0" customHeight="1">
      <c r="A126" s="69"/>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69"/>
      <c r="AS126" s="69"/>
      <c r="AT126" s="69"/>
      <c r="AU126" s="69"/>
      <c r="AV126" s="69"/>
      <c r="AW126" s="69"/>
      <c r="AX126" s="69"/>
      <c r="AY126" s="69"/>
      <c r="AZ126" s="69"/>
      <c r="BA126" s="69"/>
      <c r="BB126" s="69"/>
      <c r="BC126" s="69"/>
      <c r="BD126" s="69"/>
      <c r="BE126" s="69"/>
      <c r="BF126" s="69"/>
      <c r="BG126" s="69"/>
      <c r="BH126" s="69"/>
      <c r="BI126" s="69"/>
      <c r="BJ126" s="69"/>
      <c r="BK126" s="69"/>
      <c r="BL126" s="69"/>
      <c r="BM126" s="69"/>
      <c r="BN126" s="69"/>
      <c r="BO126" s="69"/>
      <c r="BP126" s="69"/>
      <c r="BQ126" s="69"/>
      <c r="BR126" s="8"/>
    </row>
    <row r="127" ht="12.0" customHeight="1">
      <c r="A127" s="69"/>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69"/>
      <c r="AS127" s="69"/>
      <c r="AT127" s="69"/>
      <c r="AU127" s="69"/>
      <c r="AV127" s="69"/>
      <c r="AW127" s="69"/>
      <c r="AX127" s="69"/>
      <c r="AY127" s="69"/>
      <c r="AZ127" s="69"/>
      <c r="BA127" s="69"/>
      <c r="BB127" s="69"/>
      <c r="BC127" s="69"/>
      <c r="BD127" s="69"/>
      <c r="BE127" s="69"/>
      <c r="BF127" s="69"/>
      <c r="BG127" s="69"/>
      <c r="BH127" s="69"/>
      <c r="BI127" s="69"/>
      <c r="BJ127" s="69"/>
      <c r="BK127" s="69"/>
      <c r="BL127" s="69"/>
      <c r="BM127" s="69"/>
      <c r="BN127" s="69"/>
      <c r="BO127" s="69"/>
      <c r="BP127" s="69"/>
      <c r="BQ127" s="69"/>
      <c r="BR127" s="8"/>
    </row>
    <row r="128" ht="12.0" customHeight="1">
      <c r="A128" s="69"/>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69"/>
      <c r="AS128" s="69"/>
      <c r="AT128" s="69"/>
      <c r="AU128" s="69"/>
      <c r="AV128" s="69"/>
      <c r="AW128" s="69"/>
      <c r="AX128" s="69"/>
      <c r="AY128" s="69"/>
      <c r="AZ128" s="69"/>
      <c r="BA128" s="69"/>
      <c r="BB128" s="69"/>
      <c r="BC128" s="69"/>
      <c r="BD128" s="69"/>
      <c r="BE128" s="69"/>
      <c r="BF128" s="69"/>
      <c r="BG128" s="69"/>
      <c r="BH128" s="69"/>
      <c r="BI128" s="69"/>
      <c r="BJ128" s="69"/>
      <c r="BK128" s="69"/>
      <c r="BL128" s="69"/>
      <c r="BM128" s="69"/>
      <c r="BN128" s="69"/>
      <c r="BO128" s="69"/>
      <c r="BP128" s="69"/>
      <c r="BQ128" s="69"/>
      <c r="BR128" s="8"/>
    </row>
    <row r="129" ht="12.0" customHeight="1">
      <c r="A129" s="69"/>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69"/>
      <c r="AS129" s="69"/>
      <c r="AT129" s="69"/>
      <c r="AU129" s="69"/>
      <c r="AV129" s="69"/>
      <c r="AW129" s="69"/>
      <c r="AX129" s="69"/>
      <c r="AY129" s="69"/>
      <c r="AZ129" s="69"/>
      <c r="BA129" s="69"/>
      <c r="BB129" s="69"/>
      <c r="BC129" s="69"/>
      <c r="BD129" s="69"/>
      <c r="BE129" s="69"/>
      <c r="BF129" s="69"/>
      <c r="BG129" s="69"/>
      <c r="BH129" s="69"/>
      <c r="BI129" s="69"/>
      <c r="BJ129" s="69"/>
      <c r="BK129" s="69"/>
      <c r="BL129" s="69"/>
      <c r="BM129" s="69"/>
      <c r="BN129" s="69"/>
      <c r="BO129" s="69"/>
      <c r="BP129" s="69"/>
      <c r="BQ129" s="69"/>
      <c r="BR129" s="8"/>
    </row>
    <row r="130" ht="12.0" customHeight="1">
      <c r="A130" s="69"/>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69"/>
      <c r="AS130" s="69"/>
      <c r="AT130" s="69"/>
      <c r="AU130" s="69"/>
      <c r="AV130" s="69"/>
      <c r="AW130" s="69"/>
      <c r="AX130" s="69"/>
      <c r="AY130" s="69"/>
      <c r="AZ130" s="69"/>
      <c r="BA130" s="69"/>
      <c r="BB130" s="69"/>
      <c r="BC130" s="69"/>
      <c r="BD130" s="69"/>
      <c r="BE130" s="69"/>
      <c r="BF130" s="69"/>
      <c r="BG130" s="69"/>
      <c r="BH130" s="69"/>
      <c r="BI130" s="69"/>
      <c r="BJ130" s="69"/>
      <c r="BK130" s="69"/>
      <c r="BL130" s="69"/>
      <c r="BM130" s="69"/>
      <c r="BN130" s="69"/>
      <c r="BO130" s="69"/>
      <c r="BP130" s="69"/>
      <c r="BQ130" s="69"/>
      <c r="BR130" s="8"/>
    </row>
    <row r="131" ht="12.0" customHeight="1">
      <c r="A131" s="69"/>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69"/>
      <c r="AS131" s="69"/>
      <c r="AT131" s="69"/>
      <c r="AU131" s="69"/>
      <c r="AV131" s="69"/>
      <c r="AW131" s="69"/>
      <c r="AX131" s="69"/>
      <c r="AY131" s="69"/>
      <c r="AZ131" s="69"/>
      <c r="BA131" s="69"/>
      <c r="BB131" s="69"/>
      <c r="BC131" s="69"/>
      <c r="BD131" s="69"/>
      <c r="BE131" s="69"/>
      <c r="BF131" s="69"/>
      <c r="BG131" s="69"/>
      <c r="BH131" s="69"/>
      <c r="BI131" s="69"/>
      <c r="BJ131" s="69"/>
      <c r="BK131" s="69"/>
      <c r="BL131" s="69"/>
      <c r="BM131" s="69"/>
      <c r="BN131" s="69"/>
      <c r="BO131" s="69"/>
      <c r="BP131" s="69"/>
      <c r="BQ131" s="69"/>
      <c r="BR131" s="8"/>
    </row>
    <row r="132" ht="12.0" customHeight="1">
      <c r="A132" s="69"/>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69"/>
      <c r="AS132" s="69"/>
      <c r="AT132" s="69"/>
      <c r="AU132" s="69"/>
      <c r="AV132" s="69"/>
      <c r="AW132" s="69"/>
      <c r="AX132" s="69"/>
      <c r="AY132" s="69"/>
      <c r="AZ132" s="69"/>
      <c r="BA132" s="69"/>
      <c r="BB132" s="69"/>
      <c r="BC132" s="69"/>
      <c r="BD132" s="69"/>
      <c r="BE132" s="69"/>
      <c r="BF132" s="69"/>
      <c r="BG132" s="69"/>
      <c r="BH132" s="69"/>
      <c r="BI132" s="69"/>
      <c r="BJ132" s="69"/>
      <c r="BK132" s="69"/>
      <c r="BL132" s="69"/>
      <c r="BM132" s="69"/>
      <c r="BN132" s="69"/>
      <c r="BO132" s="69"/>
      <c r="BP132" s="69"/>
      <c r="BQ132" s="69"/>
      <c r="BR132" s="8"/>
    </row>
    <row r="133" ht="12.0" customHeight="1">
      <c r="A133" s="69"/>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69"/>
      <c r="AS133" s="69"/>
      <c r="AT133" s="69"/>
      <c r="AU133" s="69"/>
      <c r="AV133" s="69"/>
      <c r="AW133" s="69"/>
      <c r="AX133" s="69"/>
      <c r="AY133" s="69"/>
      <c r="AZ133" s="69"/>
      <c r="BA133" s="69"/>
      <c r="BB133" s="69"/>
      <c r="BC133" s="69"/>
      <c r="BD133" s="69"/>
      <c r="BE133" s="69"/>
      <c r="BF133" s="69"/>
      <c r="BG133" s="69"/>
      <c r="BH133" s="69"/>
      <c r="BI133" s="69"/>
      <c r="BJ133" s="69"/>
      <c r="BK133" s="69"/>
      <c r="BL133" s="69"/>
      <c r="BM133" s="69"/>
      <c r="BN133" s="69"/>
      <c r="BO133" s="69"/>
      <c r="BP133" s="69"/>
      <c r="BQ133" s="69"/>
      <c r="BR133" s="8"/>
    </row>
    <row r="134" ht="12.0" customHeight="1">
      <c r="A134" s="69"/>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69"/>
      <c r="AS134" s="69"/>
      <c r="AT134" s="69"/>
      <c r="AU134" s="69"/>
      <c r="AV134" s="69"/>
      <c r="AW134" s="69"/>
      <c r="AX134" s="69"/>
      <c r="AY134" s="69"/>
      <c r="AZ134" s="69"/>
      <c r="BA134" s="69"/>
      <c r="BB134" s="69"/>
      <c r="BC134" s="69"/>
      <c r="BD134" s="69"/>
      <c r="BE134" s="69"/>
      <c r="BF134" s="69"/>
      <c r="BG134" s="69"/>
      <c r="BH134" s="69"/>
      <c r="BI134" s="69"/>
      <c r="BJ134" s="69"/>
      <c r="BK134" s="69"/>
      <c r="BL134" s="69"/>
      <c r="BM134" s="69"/>
      <c r="BN134" s="69"/>
      <c r="BO134" s="69"/>
      <c r="BP134" s="69"/>
      <c r="BQ134" s="69"/>
      <c r="BR134" s="8"/>
    </row>
    <row r="135" ht="12.0" customHeight="1">
      <c r="A135" s="69"/>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69"/>
      <c r="AS135" s="69"/>
      <c r="AT135" s="69"/>
      <c r="AU135" s="69"/>
      <c r="AV135" s="69"/>
      <c r="AW135" s="69"/>
      <c r="AX135" s="69"/>
      <c r="AY135" s="69"/>
      <c r="AZ135" s="69"/>
      <c r="BA135" s="69"/>
      <c r="BB135" s="69"/>
      <c r="BC135" s="69"/>
      <c r="BD135" s="69"/>
      <c r="BE135" s="69"/>
      <c r="BF135" s="69"/>
      <c r="BG135" s="69"/>
      <c r="BH135" s="69"/>
      <c r="BI135" s="69"/>
      <c r="BJ135" s="69"/>
      <c r="BK135" s="69"/>
      <c r="BL135" s="69"/>
      <c r="BM135" s="69"/>
      <c r="BN135" s="69"/>
      <c r="BO135" s="69"/>
      <c r="BP135" s="69"/>
      <c r="BQ135" s="69"/>
      <c r="BR135" s="8"/>
    </row>
    <row r="136" ht="12.0" customHeight="1">
      <c r="A136" s="69"/>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69"/>
      <c r="AS136" s="69"/>
      <c r="AT136" s="69"/>
      <c r="AU136" s="69"/>
      <c r="AV136" s="69"/>
      <c r="AW136" s="69"/>
      <c r="AX136" s="69"/>
      <c r="AY136" s="69"/>
      <c r="AZ136" s="69"/>
      <c r="BA136" s="69"/>
      <c r="BB136" s="69"/>
      <c r="BC136" s="69"/>
      <c r="BD136" s="69"/>
      <c r="BE136" s="69"/>
      <c r="BF136" s="69"/>
      <c r="BG136" s="69"/>
      <c r="BH136" s="69"/>
      <c r="BI136" s="69"/>
      <c r="BJ136" s="69"/>
      <c r="BK136" s="69"/>
      <c r="BL136" s="69"/>
      <c r="BM136" s="69"/>
      <c r="BN136" s="69"/>
      <c r="BO136" s="69"/>
      <c r="BP136" s="69"/>
      <c r="BQ136" s="69"/>
      <c r="BR136" s="8"/>
    </row>
    <row r="137" ht="12.0" customHeight="1">
      <c r="A137" s="69"/>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69"/>
      <c r="AS137" s="69"/>
      <c r="AT137" s="69"/>
      <c r="AU137" s="69"/>
      <c r="AV137" s="69"/>
      <c r="AW137" s="69"/>
      <c r="AX137" s="69"/>
      <c r="AY137" s="69"/>
      <c r="AZ137" s="69"/>
      <c r="BA137" s="69"/>
      <c r="BB137" s="69"/>
      <c r="BC137" s="69"/>
      <c r="BD137" s="69"/>
      <c r="BE137" s="69"/>
      <c r="BF137" s="69"/>
      <c r="BG137" s="69"/>
      <c r="BH137" s="69"/>
      <c r="BI137" s="69"/>
      <c r="BJ137" s="69"/>
      <c r="BK137" s="69"/>
      <c r="BL137" s="69"/>
      <c r="BM137" s="69"/>
      <c r="BN137" s="69"/>
      <c r="BO137" s="69"/>
      <c r="BP137" s="69"/>
      <c r="BQ137" s="69"/>
      <c r="BR137" s="8"/>
    </row>
    <row r="138" ht="12.0" customHeight="1">
      <c r="A138" s="69"/>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69"/>
      <c r="AS138" s="69"/>
      <c r="AT138" s="69"/>
      <c r="AU138" s="69"/>
      <c r="AV138" s="69"/>
      <c r="AW138" s="69"/>
      <c r="AX138" s="69"/>
      <c r="AY138" s="69"/>
      <c r="AZ138" s="69"/>
      <c r="BA138" s="69"/>
      <c r="BB138" s="69"/>
      <c r="BC138" s="69"/>
      <c r="BD138" s="69"/>
      <c r="BE138" s="69"/>
      <c r="BF138" s="69"/>
      <c r="BG138" s="69"/>
      <c r="BH138" s="69"/>
      <c r="BI138" s="69"/>
      <c r="BJ138" s="69"/>
      <c r="BK138" s="69"/>
      <c r="BL138" s="69"/>
      <c r="BM138" s="69"/>
      <c r="BN138" s="69"/>
      <c r="BO138" s="69"/>
      <c r="BP138" s="69"/>
      <c r="BQ138" s="69"/>
      <c r="BR138" s="8"/>
    </row>
    <row r="139" ht="12.0" customHeight="1">
      <c r="A139" s="69"/>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69"/>
      <c r="AS139" s="69"/>
      <c r="AT139" s="69"/>
      <c r="AU139" s="69"/>
      <c r="AV139" s="69"/>
      <c r="AW139" s="69"/>
      <c r="AX139" s="69"/>
      <c r="AY139" s="69"/>
      <c r="AZ139" s="69"/>
      <c r="BA139" s="69"/>
      <c r="BB139" s="69"/>
      <c r="BC139" s="69"/>
      <c r="BD139" s="69"/>
      <c r="BE139" s="69"/>
      <c r="BF139" s="69"/>
      <c r="BG139" s="69"/>
      <c r="BH139" s="69"/>
      <c r="BI139" s="69"/>
      <c r="BJ139" s="69"/>
      <c r="BK139" s="69"/>
      <c r="BL139" s="69"/>
      <c r="BM139" s="69"/>
      <c r="BN139" s="69"/>
      <c r="BO139" s="69"/>
      <c r="BP139" s="69"/>
      <c r="BQ139" s="69"/>
      <c r="BR139" s="8"/>
    </row>
    <row r="140" ht="12.0" customHeight="1">
      <c r="A140" s="69"/>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69"/>
      <c r="AS140" s="69"/>
      <c r="AT140" s="69"/>
      <c r="AU140" s="69"/>
      <c r="AV140" s="69"/>
      <c r="AW140" s="69"/>
      <c r="AX140" s="69"/>
      <c r="AY140" s="69"/>
      <c r="AZ140" s="69"/>
      <c r="BA140" s="69"/>
      <c r="BB140" s="69"/>
      <c r="BC140" s="69"/>
      <c r="BD140" s="69"/>
      <c r="BE140" s="69"/>
      <c r="BF140" s="69"/>
      <c r="BG140" s="69"/>
      <c r="BH140" s="69"/>
      <c r="BI140" s="69"/>
      <c r="BJ140" s="69"/>
      <c r="BK140" s="69"/>
      <c r="BL140" s="69"/>
      <c r="BM140" s="69"/>
      <c r="BN140" s="69"/>
      <c r="BO140" s="69"/>
      <c r="BP140" s="69"/>
      <c r="BQ140" s="69"/>
      <c r="BR140" s="8"/>
    </row>
    <row r="141" ht="12.0" customHeight="1">
      <c r="A141" s="69"/>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69"/>
      <c r="AS141" s="69"/>
      <c r="AT141" s="69"/>
      <c r="AU141" s="69"/>
      <c r="AV141" s="69"/>
      <c r="AW141" s="69"/>
      <c r="AX141" s="69"/>
      <c r="AY141" s="69"/>
      <c r="AZ141" s="69"/>
      <c r="BA141" s="69"/>
      <c r="BB141" s="69"/>
      <c r="BC141" s="69"/>
      <c r="BD141" s="69"/>
      <c r="BE141" s="69"/>
      <c r="BF141" s="69"/>
      <c r="BG141" s="69"/>
      <c r="BH141" s="69"/>
      <c r="BI141" s="69"/>
      <c r="BJ141" s="69"/>
      <c r="BK141" s="69"/>
      <c r="BL141" s="69"/>
      <c r="BM141" s="69"/>
      <c r="BN141" s="69"/>
      <c r="BO141" s="69"/>
      <c r="BP141" s="69"/>
      <c r="BQ141" s="69"/>
      <c r="BR141" s="8"/>
    </row>
    <row r="142" ht="12.0" customHeight="1">
      <c r="A142" s="69"/>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69"/>
      <c r="AS142" s="69"/>
      <c r="AT142" s="69"/>
      <c r="AU142" s="69"/>
      <c r="AV142" s="69"/>
      <c r="AW142" s="69"/>
      <c r="AX142" s="69"/>
      <c r="AY142" s="69"/>
      <c r="AZ142" s="69"/>
      <c r="BA142" s="69"/>
      <c r="BB142" s="69"/>
      <c r="BC142" s="69"/>
      <c r="BD142" s="69"/>
      <c r="BE142" s="69"/>
      <c r="BF142" s="69"/>
      <c r="BG142" s="69"/>
      <c r="BH142" s="69"/>
      <c r="BI142" s="69"/>
      <c r="BJ142" s="69"/>
      <c r="BK142" s="69"/>
      <c r="BL142" s="69"/>
      <c r="BM142" s="69"/>
      <c r="BN142" s="69"/>
      <c r="BO142" s="69"/>
      <c r="BP142" s="69"/>
      <c r="BQ142" s="69"/>
      <c r="BR142" s="8"/>
    </row>
    <row r="143" ht="12.0" customHeight="1">
      <c r="A143" s="69"/>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69"/>
      <c r="AS143" s="69"/>
      <c r="AT143" s="69"/>
      <c r="AU143" s="69"/>
      <c r="AV143" s="69"/>
      <c r="AW143" s="69"/>
      <c r="AX143" s="69"/>
      <c r="AY143" s="69"/>
      <c r="AZ143" s="69"/>
      <c r="BA143" s="69"/>
      <c r="BB143" s="69"/>
      <c r="BC143" s="69"/>
      <c r="BD143" s="69"/>
      <c r="BE143" s="69"/>
      <c r="BF143" s="69"/>
      <c r="BG143" s="69"/>
      <c r="BH143" s="69"/>
      <c r="BI143" s="69"/>
      <c r="BJ143" s="69"/>
      <c r="BK143" s="69"/>
      <c r="BL143" s="69"/>
      <c r="BM143" s="69"/>
      <c r="BN143" s="69"/>
      <c r="BO143" s="69"/>
      <c r="BP143" s="69"/>
      <c r="BQ143" s="69"/>
      <c r="BR143" s="8"/>
    </row>
    <row r="144" ht="12.0" customHeight="1">
      <c r="A144" s="69"/>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69"/>
      <c r="AS144" s="69"/>
      <c r="AT144" s="69"/>
      <c r="AU144" s="69"/>
      <c r="AV144" s="69"/>
      <c r="AW144" s="69"/>
      <c r="AX144" s="69"/>
      <c r="AY144" s="69"/>
      <c r="AZ144" s="69"/>
      <c r="BA144" s="69"/>
      <c r="BB144" s="69"/>
      <c r="BC144" s="69"/>
      <c r="BD144" s="69"/>
      <c r="BE144" s="69"/>
      <c r="BF144" s="69"/>
      <c r="BG144" s="69"/>
      <c r="BH144" s="69"/>
      <c r="BI144" s="69"/>
      <c r="BJ144" s="69"/>
      <c r="BK144" s="69"/>
      <c r="BL144" s="69"/>
      <c r="BM144" s="69"/>
      <c r="BN144" s="69"/>
      <c r="BO144" s="69"/>
      <c r="BP144" s="69"/>
      <c r="BQ144" s="69"/>
      <c r="BR144" s="8"/>
    </row>
    <row r="145" ht="12.0" customHeight="1">
      <c r="A145" s="69"/>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69"/>
      <c r="AS145" s="69"/>
      <c r="AT145" s="69"/>
      <c r="AU145" s="69"/>
      <c r="AV145" s="69"/>
      <c r="AW145" s="69"/>
      <c r="AX145" s="69"/>
      <c r="AY145" s="69"/>
      <c r="AZ145" s="69"/>
      <c r="BA145" s="69"/>
      <c r="BB145" s="69"/>
      <c r="BC145" s="69"/>
      <c r="BD145" s="69"/>
      <c r="BE145" s="69"/>
      <c r="BF145" s="69"/>
      <c r="BG145" s="69"/>
      <c r="BH145" s="69"/>
      <c r="BI145" s="69"/>
      <c r="BJ145" s="69"/>
      <c r="BK145" s="69"/>
      <c r="BL145" s="69"/>
      <c r="BM145" s="69"/>
      <c r="BN145" s="69"/>
      <c r="BO145" s="69"/>
      <c r="BP145" s="69"/>
      <c r="BQ145" s="69"/>
      <c r="BR145" s="8"/>
    </row>
    <row r="146" ht="12.0" customHeight="1">
      <c r="A146" s="69"/>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69"/>
      <c r="AS146" s="69"/>
      <c r="AT146" s="69"/>
      <c r="AU146" s="69"/>
      <c r="AV146" s="69"/>
      <c r="AW146" s="69"/>
      <c r="AX146" s="69"/>
      <c r="AY146" s="69"/>
      <c r="AZ146" s="69"/>
      <c r="BA146" s="69"/>
      <c r="BB146" s="69"/>
      <c r="BC146" s="69"/>
      <c r="BD146" s="69"/>
      <c r="BE146" s="69"/>
      <c r="BF146" s="69"/>
      <c r="BG146" s="69"/>
      <c r="BH146" s="69"/>
      <c r="BI146" s="69"/>
      <c r="BJ146" s="69"/>
      <c r="BK146" s="69"/>
      <c r="BL146" s="69"/>
      <c r="BM146" s="69"/>
      <c r="BN146" s="69"/>
      <c r="BO146" s="69"/>
      <c r="BP146" s="69"/>
      <c r="BQ146" s="69"/>
      <c r="BR146" s="8"/>
    </row>
    <row r="147" ht="12.0" customHeight="1">
      <c r="A147" s="69"/>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69"/>
      <c r="AS147" s="69"/>
      <c r="AT147" s="69"/>
      <c r="AU147" s="69"/>
      <c r="AV147" s="69"/>
      <c r="AW147" s="69"/>
      <c r="AX147" s="69"/>
      <c r="AY147" s="69"/>
      <c r="AZ147" s="69"/>
      <c r="BA147" s="69"/>
      <c r="BB147" s="69"/>
      <c r="BC147" s="69"/>
      <c r="BD147" s="69"/>
      <c r="BE147" s="69"/>
      <c r="BF147" s="69"/>
      <c r="BG147" s="69"/>
      <c r="BH147" s="69"/>
      <c r="BI147" s="69"/>
      <c r="BJ147" s="69"/>
      <c r="BK147" s="69"/>
      <c r="BL147" s="69"/>
      <c r="BM147" s="69"/>
      <c r="BN147" s="69"/>
      <c r="BO147" s="69"/>
      <c r="BP147" s="69"/>
      <c r="BQ147" s="69"/>
      <c r="BR147" s="8"/>
    </row>
    <row r="148" ht="12.0" customHeight="1">
      <c r="A148" s="69"/>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69"/>
      <c r="AS148" s="69"/>
      <c r="AT148" s="69"/>
      <c r="AU148" s="69"/>
      <c r="AV148" s="69"/>
      <c r="AW148" s="69"/>
      <c r="AX148" s="69"/>
      <c r="AY148" s="69"/>
      <c r="AZ148" s="69"/>
      <c r="BA148" s="69"/>
      <c r="BB148" s="69"/>
      <c r="BC148" s="69"/>
      <c r="BD148" s="69"/>
      <c r="BE148" s="69"/>
      <c r="BF148" s="69"/>
      <c r="BG148" s="69"/>
      <c r="BH148" s="69"/>
      <c r="BI148" s="69"/>
      <c r="BJ148" s="69"/>
      <c r="BK148" s="69"/>
      <c r="BL148" s="69"/>
      <c r="BM148" s="69"/>
      <c r="BN148" s="69"/>
      <c r="BO148" s="69"/>
      <c r="BP148" s="69"/>
      <c r="BQ148" s="69"/>
      <c r="BR148" s="8"/>
    </row>
    <row r="149" ht="12.0" customHeight="1">
      <c r="A149" s="69"/>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69"/>
      <c r="AS149" s="69"/>
      <c r="AT149" s="69"/>
      <c r="AU149" s="69"/>
      <c r="AV149" s="69"/>
      <c r="AW149" s="69"/>
      <c r="AX149" s="69"/>
      <c r="AY149" s="69"/>
      <c r="AZ149" s="69"/>
      <c r="BA149" s="69"/>
      <c r="BB149" s="69"/>
      <c r="BC149" s="69"/>
      <c r="BD149" s="69"/>
      <c r="BE149" s="69"/>
      <c r="BF149" s="69"/>
      <c r="BG149" s="69"/>
      <c r="BH149" s="69"/>
      <c r="BI149" s="69"/>
      <c r="BJ149" s="69"/>
      <c r="BK149" s="69"/>
      <c r="BL149" s="69"/>
      <c r="BM149" s="69"/>
      <c r="BN149" s="69"/>
      <c r="BO149" s="69"/>
      <c r="BP149" s="69"/>
      <c r="BQ149" s="69"/>
      <c r="BR149" s="8"/>
    </row>
    <row r="150" ht="12.0" customHeight="1">
      <c r="A150" s="69"/>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69"/>
      <c r="AS150" s="69"/>
      <c r="AT150" s="69"/>
      <c r="AU150" s="69"/>
      <c r="AV150" s="69"/>
      <c r="AW150" s="69"/>
      <c r="AX150" s="69"/>
      <c r="AY150" s="69"/>
      <c r="AZ150" s="69"/>
      <c r="BA150" s="69"/>
      <c r="BB150" s="69"/>
      <c r="BC150" s="69"/>
      <c r="BD150" s="69"/>
      <c r="BE150" s="69"/>
      <c r="BF150" s="69"/>
      <c r="BG150" s="69"/>
      <c r="BH150" s="69"/>
      <c r="BI150" s="69"/>
      <c r="BJ150" s="69"/>
      <c r="BK150" s="69"/>
      <c r="BL150" s="69"/>
      <c r="BM150" s="69"/>
      <c r="BN150" s="69"/>
      <c r="BO150" s="69"/>
      <c r="BP150" s="69"/>
      <c r="BQ150" s="69"/>
      <c r="BR150" s="8"/>
    </row>
    <row r="151" ht="12.0" customHeight="1">
      <c r="A151" s="69"/>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69"/>
      <c r="AS151" s="69"/>
      <c r="AT151" s="69"/>
      <c r="AU151" s="69"/>
      <c r="AV151" s="69"/>
      <c r="AW151" s="69"/>
      <c r="AX151" s="69"/>
      <c r="AY151" s="69"/>
      <c r="AZ151" s="69"/>
      <c r="BA151" s="69"/>
      <c r="BB151" s="69"/>
      <c r="BC151" s="69"/>
      <c r="BD151" s="69"/>
      <c r="BE151" s="69"/>
      <c r="BF151" s="69"/>
      <c r="BG151" s="69"/>
      <c r="BH151" s="69"/>
      <c r="BI151" s="69"/>
      <c r="BJ151" s="69"/>
      <c r="BK151" s="69"/>
      <c r="BL151" s="69"/>
      <c r="BM151" s="69"/>
      <c r="BN151" s="69"/>
      <c r="BO151" s="69"/>
      <c r="BP151" s="69"/>
      <c r="BQ151" s="69"/>
      <c r="BR151" s="8"/>
    </row>
    <row r="152" ht="12.0" customHeight="1">
      <c r="A152" s="69"/>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69"/>
      <c r="AS152" s="69"/>
      <c r="AT152" s="69"/>
      <c r="AU152" s="69"/>
      <c r="AV152" s="69"/>
      <c r="AW152" s="69"/>
      <c r="AX152" s="69"/>
      <c r="AY152" s="69"/>
      <c r="AZ152" s="69"/>
      <c r="BA152" s="69"/>
      <c r="BB152" s="69"/>
      <c r="BC152" s="69"/>
      <c r="BD152" s="69"/>
      <c r="BE152" s="69"/>
      <c r="BF152" s="69"/>
      <c r="BG152" s="69"/>
      <c r="BH152" s="69"/>
      <c r="BI152" s="69"/>
      <c r="BJ152" s="69"/>
      <c r="BK152" s="69"/>
      <c r="BL152" s="69"/>
      <c r="BM152" s="69"/>
      <c r="BN152" s="69"/>
      <c r="BO152" s="69"/>
      <c r="BP152" s="69"/>
      <c r="BQ152" s="69"/>
      <c r="BR152" s="8"/>
    </row>
    <row r="153" ht="12.0" customHeight="1">
      <c r="A153" s="69"/>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69"/>
      <c r="AS153" s="69"/>
      <c r="AT153" s="69"/>
      <c r="AU153" s="69"/>
      <c r="AV153" s="69"/>
      <c r="AW153" s="69"/>
      <c r="AX153" s="69"/>
      <c r="AY153" s="69"/>
      <c r="AZ153" s="69"/>
      <c r="BA153" s="69"/>
      <c r="BB153" s="69"/>
      <c r="BC153" s="69"/>
      <c r="BD153" s="69"/>
      <c r="BE153" s="69"/>
      <c r="BF153" s="69"/>
      <c r="BG153" s="69"/>
      <c r="BH153" s="69"/>
      <c r="BI153" s="69"/>
      <c r="BJ153" s="69"/>
      <c r="BK153" s="69"/>
      <c r="BL153" s="69"/>
      <c r="BM153" s="69"/>
      <c r="BN153" s="69"/>
      <c r="BO153" s="69"/>
      <c r="BP153" s="69"/>
      <c r="BQ153" s="69"/>
      <c r="BR153" s="8"/>
    </row>
    <row r="154" ht="12.0" customHeight="1">
      <c r="A154" s="69"/>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69"/>
      <c r="AS154" s="69"/>
      <c r="AT154" s="69"/>
      <c r="AU154" s="69"/>
      <c r="AV154" s="69"/>
      <c r="AW154" s="69"/>
      <c r="AX154" s="69"/>
      <c r="AY154" s="69"/>
      <c r="AZ154" s="69"/>
      <c r="BA154" s="69"/>
      <c r="BB154" s="69"/>
      <c r="BC154" s="69"/>
      <c r="BD154" s="69"/>
      <c r="BE154" s="69"/>
      <c r="BF154" s="69"/>
      <c r="BG154" s="69"/>
      <c r="BH154" s="69"/>
      <c r="BI154" s="69"/>
      <c r="BJ154" s="69"/>
      <c r="BK154" s="69"/>
      <c r="BL154" s="69"/>
      <c r="BM154" s="69"/>
      <c r="BN154" s="69"/>
      <c r="BO154" s="69"/>
      <c r="BP154" s="69"/>
      <c r="BQ154" s="69"/>
      <c r="BR154" s="8"/>
    </row>
    <row r="155" ht="12.0" customHeight="1">
      <c r="A155" s="69"/>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69"/>
      <c r="AS155" s="69"/>
      <c r="AT155" s="69"/>
      <c r="AU155" s="69"/>
      <c r="AV155" s="69"/>
      <c r="AW155" s="69"/>
      <c r="AX155" s="69"/>
      <c r="AY155" s="69"/>
      <c r="AZ155" s="69"/>
      <c r="BA155" s="69"/>
      <c r="BB155" s="69"/>
      <c r="BC155" s="69"/>
      <c r="BD155" s="69"/>
      <c r="BE155" s="69"/>
      <c r="BF155" s="69"/>
      <c r="BG155" s="69"/>
      <c r="BH155" s="69"/>
      <c r="BI155" s="69"/>
      <c r="BJ155" s="69"/>
      <c r="BK155" s="69"/>
      <c r="BL155" s="69"/>
      <c r="BM155" s="69"/>
      <c r="BN155" s="69"/>
      <c r="BO155" s="69"/>
      <c r="BP155" s="69"/>
      <c r="BQ155" s="69"/>
      <c r="BR155" s="8"/>
    </row>
    <row r="156" ht="12.0" customHeight="1">
      <c r="A156" s="69"/>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69"/>
      <c r="AS156" s="69"/>
      <c r="AT156" s="69"/>
      <c r="AU156" s="69"/>
      <c r="AV156" s="69"/>
      <c r="AW156" s="69"/>
      <c r="AX156" s="69"/>
      <c r="AY156" s="69"/>
      <c r="AZ156" s="69"/>
      <c r="BA156" s="69"/>
      <c r="BB156" s="69"/>
      <c r="BC156" s="69"/>
      <c r="BD156" s="69"/>
      <c r="BE156" s="69"/>
      <c r="BF156" s="69"/>
      <c r="BG156" s="69"/>
      <c r="BH156" s="69"/>
      <c r="BI156" s="69"/>
      <c r="BJ156" s="69"/>
      <c r="BK156" s="69"/>
      <c r="BL156" s="69"/>
      <c r="BM156" s="69"/>
      <c r="BN156" s="69"/>
      <c r="BO156" s="69"/>
      <c r="BP156" s="69"/>
      <c r="BQ156" s="69"/>
      <c r="BR156" s="8"/>
    </row>
    <row r="157" ht="12.0" customHeight="1">
      <c r="A157" s="69"/>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69"/>
      <c r="AS157" s="69"/>
      <c r="AT157" s="69"/>
      <c r="AU157" s="69"/>
      <c r="AV157" s="69"/>
      <c r="AW157" s="69"/>
      <c r="AX157" s="69"/>
      <c r="AY157" s="69"/>
      <c r="AZ157" s="69"/>
      <c r="BA157" s="69"/>
      <c r="BB157" s="69"/>
      <c r="BC157" s="69"/>
      <c r="BD157" s="69"/>
      <c r="BE157" s="69"/>
      <c r="BF157" s="69"/>
      <c r="BG157" s="69"/>
      <c r="BH157" s="69"/>
      <c r="BI157" s="69"/>
      <c r="BJ157" s="69"/>
      <c r="BK157" s="69"/>
      <c r="BL157" s="69"/>
      <c r="BM157" s="69"/>
      <c r="BN157" s="69"/>
      <c r="BO157" s="69"/>
      <c r="BP157" s="69"/>
      <c r="BQ157" s="69"/>
      <c r="BR157" s="8"/>
    </row>
    <row r="158" ht="12.0" customHeight="1">
      <c r="A158" s="69"/>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69"/>
      <c r="AS158" s="69"/>
      <c r="AT158" s="69"/>
      <c r="AU158" s="69"/>
      <c r="AV158" s="69"/>
      <c r="AW158" s="69"/>
      <c r="AX158" s="69"/>
      <c r="AY158" s="69"/>
      <c r="AZ158" s="69"/>
      <c r="BA158" s="69"/>
      <c r="BB158" s="69"/>
      <c r="BC158" s="69"/>
      <c r="BD158" s="69"/>
      <c r="BE158" s="69"/>
      <c r="BF158" s="69"/>
      <c r="BG158" s="69"/>
      <c r="BH158" s="69"/>
      <c r="BI158" s="69"/>
      <c r="BJ158" s="69"/>
      <c r="BK158" s="69"/>
      <c r="BL158" s="69"/>
      <c r="BM158" s="69"/>
      <c r="BN158" s="69"/>
      <c r="BO158" s="69"/>
      <c r="BP158" s="69"/>
      <c r="BQ158" s="69"/>
      <c r="BR158" s="8"/>
    </row>
    <row r="159" ht="12.0" customHeight="1">
      <c r="A159" s="69"/>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69"/>
      <c r="AS159" s="69"/>
      <c r="AT159" s="69"/>
      <c r="AU159" s="69"/>
      <c r="AV159" s="69"/>
      <c r="AW159" s="69"/>
      <c r="AX159" s="69"/>
      <c r="AY159" s="69"/>
      <c r="AZ159" s="69"/>
      <c r="BA159" s="69"/>
      <c r="BB159" s="69"/>
      <c r="BC159" s="69"/>
      <c r="BD159" s="69"/>
      <c r="BE159" s="69"/>
      <c r="BF159" s="69"/>
      <c r="BG159" s="69"/>
      <c r="BH159" s="69"/>
      <c r="BI159" s="69"/>
      <c r="BJ159" s="69"/>
      <c r="BK159" s="69"/>
      <c r="BL159" s="69"/>
      <c r="BM159" s="69"/>
      <c r="BN159" s="69"/>
      <c r="BO159" s="69"/>
      <c r="BP159" s="69"/>
      <c r="BQ159" s="69"/>
      <c r="BR159" s="8"/>
    </row>
    <row r="160" ht="12.0" customHeight="1">
      <c r="A160" s="69"/>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69"/>
      <c r="AS160" s="69"/>
      <c r="AT160" s="69"/>
      <c r="AU160" s="69"/>
      <c r="AV160" s="69"/>
      <c r="AW160" s="69"/>
      <c r="AX160" s="69"/>
      <c r="AY160" s="69"/>
      <c r="AZ160" s="69"/>
      <c r="BA160" s="69"/>
      <c r="BB160" s="69"/>
      <c r="BC160" s="69"/>
      <c r="BD160" s="69"/>
      <c r="BE160" s="69"/>
      <c r="BF160" s="69"/>
      <c r="BG160" s="69"/>
      <c r="BH160" s="69"/>
      <c r="BI160" s="69"/>
      <c r="BJ160" s="69"/>
      <c r="BK160" s="69"/>
      <c r="BL160" s="69"/>
      <c r="BM160" s="69"/>
      <c r="BN160" s="69"/>
      <c r="BO160" s="69"/>
      <c r="BP160" s="69"/>
      <c r="BQ160" s="69"/>
      <c r="BR160" s="8"/>
    </row>
    <row r="161" ht="12.0" customHeight="1">
      <c r="A161" s="69"/>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8"/>
    </row>
    <row r="162" ht="12.0" customHeight="1">
      <c r="A162" s="69"/>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69"/>
      <c r="AS162" s="69"/>
      <c r="AT162" s="69"/>
      <c r="AU162" s="69"/>
      <c r="AV162" s="69"/>
      <c r="AW162" s="69"/>
      <c r="AX162" s="69"/>
      <c r="AY162" s="69"/>
      <c r="AZ162" s="69"/>
      <c r="BA162" s="69"/>
      <c r="BB162" s="69"/>
      <c r="BC162" s="69"/>
      <c r="BD162" s="69"/>
      <c r="BE162" s="69"/>
      <c r="BF162" s="69"/>
      <c r="BG162" s="69"/>
      <c r="BH162" s="69"/>
      <c r="BI162" s="69"/>
      <c r="BJ162" s="69"/>
      <c r="BK162" s="69"/>
      <c r="BL162" s="69"/>
      <c r="BM162" s="69"/>
      <c r="BN162" s="69"/>
      <c r="BO162" s="69"/>
      <c r="BP162" s="69"/>
      <c r="BQ162" s="69"/>
      <c r="BR162" s="8"/>
    </row>
    <row r="163" ht="12.0" customHeight="1">
      <c r="A163" s="69"/>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69"/>
      <c r="AS163" s="69"/>
      <c r="AT163" s="69"/>
      <c r="AU163" s="69"/>
      <c r="AV163" s="69"/>
      <c r="AW163" s="69"/>
      <c r="AX163" s="69"/>
      <c r="AY163" s="69"/>
      <c r="AZ163" s="69"/>
      <c r="BA163" s="69"/>
      <c r="BB163" s="69"/>
      <c r="BC163" s="69"/>
      <c r="BD163" s="69"/>
      <c r="BE163" s="69"/>
      <c r="BF163" s="69"/>
      <c r="BG163" s="69"/>
      <c r="BH163" s="69"/>
      <c r="BI163" s="69"/>
      <c r="BJ163" s="69"/>
      <c r="BK163" s="69"/>
      <c r="BL163" s="69"/>
      <c r="BM163" s="69"/>
      <c r="BN163" s="69"/>
      <c r="BO163" s="69"/>
      <c r="BP163" s="69"/>
      <c r="BQ163" s="69"/>
      <c r="BR163" s="8"/>
    </row>
    <row r="164" ht="12.0" customHeight="1">
      <c r="A164" s="69"/>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69"/>
      <c r="AS164" s="69"/>
      <c r="AT164" s="69"/>
      <c r="AU164" s="69"/>
      <c r="AV164" s="69"/>
      <c r="AW164" s="69"/>
      <c r="AX164" s="69"/>
      <c r="AY164" s="69"/>
      <c r="AZ164" s="69"/>
      <c r="BA164" s="69"/>
      <c r="BB164" s="69"/>
      <c r="BC164" s="69"/>
      <c r="BD164" s="69"/>
      <c r="BE164" s="69"/>
      <c r="BF164" s="69"/>
      <c r="BG164" s="69"/>
      <c r="BH164" s="69"/>
      <c r="BI164" s="69"/>
      <c r="BJ164" s="69"/>
      <c r="BK164" s="69"/>
      <c r="BL164" s="69"/>
      <c r="BM164" s="69"/>
      <c r="BN164" s="69"/>
      <c r="BO164" s="69"/>
      <c r="BP164" s="69"/>
      <c r="BQ164" s="69"/>
      <c r="BR164" s="8"/>
    </row>
    <row r="165" ht="12.0" customHeight="1">
      <c r="A165" s="69"/>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69"/>
      <c r="AS165" s="69"/>
      <c r="AT165" s="69"/>
      <c r="AU165" s="69"/>
      <c r="AV165" s="69"/>
      <c r="AW165" s="69"/>
      <c r="AX165" s="69"/>
      <c r="AY165" s="69"/>
      <c r="AZ165" s="69"/>
      <c r="BA165" s="69"/>
      <c r="BB165" s="69"/>
      <c r="BC165" s="69"/>
      <c r="BD165" s="69"/>
      <c r="BE165" s="69"/>
      <c r="BF165" s="69"/>
      <c r="BG165" s="69"/>
      <c r="BH165" s="69"/>
      <c r="BI165" s="69"/>
      <c r="BJ165" s="69"/>
      <c r="BK165" s="69"/>
      <c r="BL165" s="69"/>
      <c r="BM165" s="69"/>
      <c r="BN165" s="69"/>
      <c r="BO165" s="69"/>
      <c r="BP165" s="69"/>
      <c r="BQ165" s="69"/>
      <c r="BR165" s="8"/>
    </row>
    <row r="166" ht="12.0" customHeight="1">
      <c r="A166" s="69"/>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69"/>
      <c r="AS166" s="69"/>
      <c r="AT166" s="69"/>
      <c r="AU166" s="69"/>
      <c r="AV166" s="69"/>
      <c r="AW166" s="69"/>
      <c r="AX166" s="69"/>
      <c r="AY166" s="69"/>
      <c r="AZ166" s="69"/>
      <c r="BA166" s="69"/>
      <c r="BB166" s="69"/>
      <c r="BC166" s="69"/>
      <c r="BD166" s="69"/>
      <c r="BE166" s="69"/>
      <c r="BF166" s="69"/>
      <c r="BG166" s="69"/>
      <c r="BH166" s="69"/>
      <c r="BI166" s="69"/>
      <c r="BJ166" s="69"/>
      <c r="BK166" s="69"/>
      <c r="BL166" s="69"/>
      <c r="BM166" s="69"/>
      <c r="BN166" s="69"/>
      <c r="BO166" s="69"/>
      <c r="BP166" s="69"/>
      <c r="BQ166" s="69"/>
      <c r="BR166" s="8"/>
    </row>
    <row r="167" ht="12.0" customHeight="1">
      <c r="A167" s="69"/>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69"/>
      <c r="AS167" s="69"/>
      <c r="AT167" s="69"/>
      <c r="AU167" s="69"/>
      <c r="AV167" s="69"/>
      <c r="AW167" s="69"/>
      <c r="AX167" s="69"/>
      <c r="AY167" s="69"/>
      <c r="AZ167" s="69"/>
      <c r="BA167" s="69"/>
      <c r="BB167" s="69"/>
      <c r="BC167" s="69"/>
      <c r="BD167" s="69"/>
      <c r="BE167" s="69"/>
      <c r="BF167" s="69"/>
      <c r="BG167" s="69"/>
      <c r="BH167" s="69"/>
      <c r="BI167" s="69"/>
      <c r="BJ167" s="69"/>
      <c r="BK167" s="69"/>
      <c r="BL167" s="69"/>
      <c r="BM167" s="69"/>
      <c r="BN167" s="69"/>
      <c r="BO167" s="69"/>
      <c r="BP167" s="69"/>
      <c r="BQ167" s="69"/>
      <c r="BR167" s="8"/>
    </row>
    <row r="168" ht="12.0" customHeight="1">
      <c r="A168" s="69"/>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69"/>
      <c r="AS168" s="69"/>
      <c r="AT168" s="69"/>
      <c r="AU168" s="69"/>
      <c r="AV168" s="69"/>
      <c r="AW168" s="69"/>
      <c r="AX168" s="69"/>
      <c r="AY168" s="69"/>
      <c r="AZ168" s="69"/>
      <c r="BA168" s="69"/>
      <c r="BB168" s="69"/>
      <c r="BC168" s="69"/>
      <c r="BD168" s="69"/>
      <c r="BE168" s="69"/>
      <c r="BF168" s="69"/>
      <c r="BG168" s="69"/>
      <c r="BH168" s="69"/>
      <c r="BI168" s="69"/>
      <c r="BJ168" s="69"/>
      <c r="BK168" s="69"/>
      <c r="BL168" s="69"/>
      <c r="BM168" s="69"/>
      <c r="BN168" s="69"/>
      <c r="BO168" s="69"/>
      <c r="BP168" s="69"/>
      <c r="BQ168" s="69"/>
      <c r="BR168" s="8"/>
    </row>
    <row r="169" ht="12.0" customHeight="1">
      <c r="A169" s="69"/>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69"/>
      <c r="AS169" s="69"/>
      <c r="AT169" s="69"/>
      <c r="AU169" s="69"/>
      <c r="AV169" s="69"/>
      <c r="AW169" s="69"/>
      <c r="AX169" s="69"/>
      <c r="AY169" s="69"/>
      <c r="AZ169" s="69"/>
      <c r="BA169" s="69"/>
      <c r="BB169" s="69"/>
      <c r="BC169" s="69"/>
      <c r="BD169" s="69"/>
      <c r="BE169" s="69"/>
      <c r="BF169" s="69"/>
      <c r="BG169" s="69"/>
      <c r="BH169" s="69"/>
      <c r="BI169" s="69"/>
      <c r="BJ169" s="69"/>
      <c r="BK169" s="69"/>
      <c r="BL169" s="69"/>
      <c r="BM169" s="69"/>
      <c r="BN169" s="69"/>
      <c r="BO169" s="69"/>
      <c r="BP169" s="69"/>
      <c r="BQ169" s="69"/>
      <c r="BR169" s="8"/>
    </row>
    <row r="170" ht="12.0" customHeight="1">
      <c r="A170" s="69"/>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69"/>
      <c r="AS170" s="69"/>
      <c r="AT170" s="69"/>
      <c r="AU170" s="69"/>
      <c r="AV170" s="69"/>
      <c r="AW170" s="69"/>
      <c r="AX170" s="69"/>
      <c r="AY170" s="69"/>
      <c r="AZ170" s="69"/>
      <c r="BA170" s="69"/>
      <c r="BB170" s="69"/>
      <c r="BC170" s="69"/>
      <c r="BD170" s="69"/>
      <c r="BE170" s="69"/>
      <c r="BF170" s="69"/>
      <c r="BG170" s="69"/>
      <c r="BH170" s="69"/>
      <c r="BI170" s="69"/>
      <c r="BJ170" s="69"/>
      <c r="BK170" s="69"/>
      <c r="BL170" s="69"/>
      <c r="BM170" s="69"/>
      <c r="BN170" s="69"/>
      <c r="BO170" s="69"/>
      <c r="BP170" s="69"/>
      <c r="BQ170" s="69"/>
      <c r="BR170" s="8"/>
    </row>
    <row r="171" ht="12.0" customHeight="1">
      <c r="A171" s="69"/>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69"/>
      <c r="AS171" s="69"/>
      <c r="AT171" s="69"/>
      <c r="AU171" s="69"/>
      <c r="AV171" s="69"/>
      <c r="AW171" s="69"/>
      <c r="AX171" s="69"/>
      <c r="AY171" s="69"/>
      <c r="AZ171" s="69"/>
      <c r="BA171" s="69"/>
      <c r="BB171" s="69"/>
      <c r="BC171" s="69"/>
      <c r="BD171" s="69"/>
      <c r="BE171" s="69"/>
      <c r="BF171" s="69"/>
      <c r="BG171" s="69"/>
      <c r="BH171" s="69"/>
      <c r="BI171" s="69"/>
      <c r="BJ171" s="69"/>
      <c r="BK171" s="69"/>
      <c r="BL171" s="69"/>
      <c r="BM171" s="69"/>
      <c r="BN171" s="69"/>
      <c r="BO171" s="69"/>
      <c r="BP171" s="69"/>
      <c r="BQ171" s="69"/>
      <c r="BR171" s="8"/>
    </row>
    <row r="172" ht="12.0" customHeight="1">
      <c r="A172" s="69"/>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8"/>
    </row>
    <row r="173" ht="12.0" customHeight="1">
      <c r="A173" s="69"/>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8"/>
    </row>
    <row r="174" ht="12.0" customHeight="1">
      <c r="A174" s="69"/>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8"/>
    </row>
    <row r="175" ht="12.0" customHeight="1">
      <c r="A175" s="69"/>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69"/>
      <c r="AS175" s="69"/>
      <c r="AT175" s="69"/>
      <c r="AU175" s="69"/>
      <c r="AV175" s="69"/>
      <c r="AW175" s="69"/>
      <c r="AX175" s="69"/>
      <c r="AY175" s="69"/>
      <c r="AZ175" s="69"/>
      <c r="BA175" s="69"/>
      <c r="BB175" s="69"/>
      <c r="BC175" s="69"/>
      <c r="BD175" s="69"/>
      <c r="BE175" s="69"/>
      <c r="BF175" s="69"/>
      <c r="BG175" s="69"/>
      <c r="BH175" s="69"/>
      <c r="BI175" s="69"/>
      <c r="BJ175" s="69"/>
      <c r="BK175" s="69"/>
      <c r="BL175" s="69"/>
      <c r="BM175" s="69"/>
      <c r="BN175" s="69"/>
      <c r="BO175" s="69"/>
      <c r="BP175" s="69"/>
      <c r="BQ175" s="69"/>
      <c r="BR175" s="8"/>
    </row>
    <row r="176" ht="12.0" customHeight="1">
      <c r="A176" s="69"/>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c r="BN176" s="69"/>
      <c r="BO176" s="69"/>
      <c r="BP176" s="69"/>
      <c r="BQ176" s="69"/>
      <c r="BR176" s="8"/>
    </row>
    <row r="177" ht="12.0" customHeight="1">
      <c r="A177" s="69"/>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69"/>
      <c r="AS177" s="69"/>
      <c r="AT177" s="69"/>
      <c r="AU177" s="69"/>
      <c r="AV177" s="69"/>
      <c r="AW177" s="69"/>
      <c r="AX177" s="69"/>
      <c r="AY177" s="69"/>
      <c r="AZ177" s="69"/>
      <c r="BA177" s="69"/>
      <c r="BB177" s="69"/>
      <c r="BC177" s="69"/>
      <c r="BD177" s="69"/>
      <c r="BE177" s="69"/>
      <c r="BF177" s="69"/>
      <c r="BG177" s="69"/>
      <c r="BH177" s="69"/>
      <c r="BI177" s="69"/>
      <c r="BJ177" s="69"/>
      <c r="BK177" s="69"/>
      <c r="BL177" s="69"/>
      <c r="BM177" s="69"/>
      <c r="BN177" s="69"/>
      <c r="BO177" s="69"/>
      <c r="BP177" s="69"/>
      <c r="BQ177" s="69"/>
      <c r="BR177" s="8"/>
    </row>
    <row r="178" ht="12.0" customHeight="1">
      <c r="A178" s="69"/>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69"/>
      <c r="AS178" s="69"/>
      <c r="AT178" s="69"/>
      <c r="AU178" s="69"/>
      <c r="AV178" s="69"/>
      <c r="AW178" s="69"/>
      <c r="AX178" s="69"/>
      <c r="AY178" s="69"/>
      <c r="AZ178" s="69"/>
      <c r="BA178" s="69"/>
      <c r="BB178" s="69"/>
      <c r="BC178" s="69"/>
      <c r="BD178" s="69"/>
      <c r="BE178" s="69"/>
      <c r="BF178" s="69"/>
      <c r="BG178" s="69"/>
      <c r="BH178" s="69"/>
      <c r="BI178" s="69"/>
      <c r="BJ178" s="69"/>
      <c r="BK178" s="69"/>
      <c r="BL178" s="69"/>
      <c r="BM178" s="69"/>
      <c r="BN178" s="69"/>
      <c r="BO178" s="69"/>
      <c r="BP178" s="69"/>
      <c r="BQ178" s="69"/>
      <c r="BR178" s="8"/>
    </row>
    <row r="179" ht="12.0" customHeight="1">
      <c r="A179" s="69"/>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69"/>
      <c r="AS179" s="69"/>
      <c r="AT179" s="69"/>
      <c r="AU179" s="69"/>
      <c r="AV179" s="69"/>
      <c r="AW179" s="69"/>
      <c r="AX179" s="69"/>
      <c r="AY179" s="69"/>
      <c r="AZ179" s="69"/>
      <c r="BA179" s="69"/>
      <c r="BB179" s="69"/>
      <c r="BC179" s="69"/>
      <c r="BD179" s="69"/>
      <c r="BE179" s="69"/>
      <c r="BF179" s="69"/>
      <c r="BG179" s="69"/>
      <c r="BH179" s="69"/>
      <c r="BI179" s="69"/>
      <c r="BJ179" s="69"/>
      <c r="BK179" s="69"/>
      <c r="BL179" s="69"/>
      <c r="BM179" s="69"/>
      <c r="BN179" s="69"/>
      <c r="BO179" s="69"/>
      <c r="BP179" s="69"/>
      <c r="BQ179" s="69"/>
      <c r="BR179" s="8"/>
    </row>
    <row r="180" ht="12.0" customHeight="1">
      <c r="A180" s="69"/>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69"/>
      <c r="AS180" s="69"/>
      <c r="AT180" s="69"/>
      <c r="AU180" s="69"/>
      <c r="AV180" s="69"/>
      <c r="AW180" s="69"/>
      <c r="AX180" s="69"/>
      <c r="AY180" s="69"/>
      <c r="AZ180" s="69"/>
      <c r="BA180" s="69"/>
      <c r="BB180" s="69"/>
      <c r="BC180" s="69"/>
      <c r="BD180" s="69"/>
      <c r="BE180" s="69"/>
      <c r="BF180" s="69"/>
      <c r="BG180" s="69"/>
      <c r="BH180" s="69"/>
      <c r="BI180" s="69"/>
      <c r="BJ180" s="69"/>
      <c r="BK180" s="69"/>
      <c r="BL180" s="69"/>
      <c r="BM180" s="69"/>
      <c r="BN180" s="69"/>
      <c r="BO180" s="69"/>
      <c r="BP180" s="69"/>
      <c r="BQ180" s="69"/>
      <c r="BR180" s="8"/>
    </row>
    <row r="181" ht="12.0" customHeight="1">
      <c r="A181" s="69"/>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69"/>
      <c r="AS181" s="69"/>
      <c r="AT181" s="69"/>
      <c r="AU181" s="69"/>
      <c r="AV181" s="69"/>
      <c r="AW181" s="69"/>
      <c r="AX181" s="69"/>
      <c r="AY181" s="69"/>
      <c r="AZ181" s="69"/>
      <c r="BA181" s="69"/>
      <c r="BB181" s="69"/>
      <c r="BC181" s="69"/>
      <c r="BD181" s="69"/>
      <c r="BE181" s="69"/>
      <c r="BF181" s="69"/>
      <c r="BG181" s="69"/>
      <c r="BH181" s="69"/>
      <c r="BI181" s="69"/>
      <c r="BJ181" s="69"/>
      <c r="BK181" s="69"/>
      <c r="BL181" s="69"/>
      <c r="BM181" s="69"/>
      <c r="BN181" s="69"/>
      <c r="BO181" s="69"/>
      <c r="BP181" s="69"/>
      <c r="BQ181" s="69"/>
      <c r="BR181" s="8"/>
    </row>
    <row r="182" ht="12.0" customHeight="1">
      <c r="A182" s="69"/>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69"/>
      <c r="AS182" s="69"/>
      <c r="AT182" s="69"/>
      <c r="AU182" s="69"/>
      <c r="AV182" s="69"/>
      <c r="AW182" s="69"/>
      <c r="AX182" s="69"/>
      <c r="AY182" s="69"/>
      <c r="AZ182" s="69"/>
      <c r="BA182" s="69"/>
      <c r="BB182" s="69"/>
      <c r="BC182" s="69"/>
      <c r="BD182" s="69"/>
      <c r="BE182" s="69"/>
      <c r="BF182" s="69"/>
      <c r="BG182" s="69"/>
      <c r="BH182" s="69"/>
      <c r="BI182" s="69"/>
      <c r="BJ182" s="69"/>
      <c r="BK182" s="69"/>
      <c r="BL182" s="69"/>
      <c r="BM182" s="69"/>
      <c r="BN182" s="69"/>
      <c r="BO182" s="69"/>
      <c r="BP182" s="69"/>
      <c r="BQ182" s="69"/>
      <c r="BR182" s="8"/>
    </row>
    <row r="183" ht="12.0" customHeight="1">
      <c r="A183" s="69"/>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69"/>
      <c r="AS183" s="69"/>
      <c r="AT183" s="69"/>
      <c r="AU183" s="69"/>
      <c r="AV183" s="69"/>
      <c r="AW183" s="69"/>
      <c r="AX183" s="69"/>
      <c r="AY183" s="69"/>
      <c r="AZ183" s="69"/>
      <c r="BA183" s="69"/>
      <c r="BB183" s="69"/>
      <c r="BC183" s="69"/>
      <c r="BD183" s="69"/>
      <c r="BE183" s="69"/>
      <c r="BF183" s="69"/>
      <c r="BG183" s="69"/>
      <c r="BH183" s="69"/>
      <c r="BI183" s="69"/>
      <c r="BJ183" s="69"/>
      <c r="BK183" s="69"/>
      <c r="BL183" s="69"/>
      <c r="BM183" s="69"/>
      <c r="BN183" s="69"/>
      <c r="BO183" s="69"/>
      <c r="BP183" s="69"/>
      <c r="BQ183" s="69"/>
      <c r="BR183" s="8"/>
    </row>
    <row r="184" ht="12.0" customHeight="1">
      <c r="A184" s="69"/>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69"/>
      <c r="AS184" s="69"/>
      <c r="AT184" s="69"/>
      <c r="AU184" s="69"/>
      <c r="AV184" s="69"/>
      <c r="AW184" s="69"/>
      <c r="AX184" s="69"/>
      <c r="AY184" s="69"/>
      <c r="AZ184" s="69"/>
      <c r="BA184" s="69"/>
      <c r="BB184" s="69"/>
      <c r="BC184" s="69"/>
      <c r="BD184" s="69"/>
      <c r="BE184" s="69"/>
      <c r="BF184" s="69"/>
      <c r="BG184" s="69"/>
      <c r="BH184" s="69"/>
      <c r="BI184" s="69"/>
      <c r="BJ184" s="69"/>
      <c r="BK184" s="69"/>
      <c r="BL184" s="69"/>
      <c r="BM184" s="69"/>
      <c r="BN184" s="69"/>
      <c r="BO184" s="69"/>
      <c r="BP184" s="69"/>
      <c r="BQ184" s="69"/>
      <c r="BR184" s="8"/>
    </row>
    <row r="185" ht="12.0" customHeight="1">
      <c r="A185" s="69"/>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69"/>
      <c r="AS185" s="69"/>
      <c r="AT185" s="69"/>
      <c r="AU185" s="69"/>
      <c r="AV185" s="69"/>
      <c r="AW185" s="69"/>
      <c r="AX185" s="69"/>
      <c r="AY185" s="69"/>
      <c r="AZ185" s="69"/>
      <c r="BA185" s="69"/>
      <c r="BB185" s="69"/>
      <c r="BC185" s="69"/>
      <c r="BD185" s="69"/>
      <c r="BE185" s="69"/>
      <c r="BF185" s="69"/>
      <c r="BG185" s="69"/>
      <c r="BH185" s="69"/>
      <c r="BI185" s="69"/>
      <c r="BJ185" s="69"/>
      <c r="BK185" s="69"/>
      <c r="BL185" s="69"/>
      <c r="BM185" s="69"/>
      <c r="BN185" s="69"/>
      <c r="BO185" s="69"/>
      <c r="BP185" s="69"/>
      <c r="BQ185" s="69"/>
      <c r="BR185" s="8"/>
    </row>
    <row r="186" ht="12.0" customHeight="1">
      <c r="A186" s="69"/>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69"/>
      <c r="AS186" s="69"/>
      <c r="AT186" s="69"/>
      <c r="AU186" s="69"/>
      <c r="AV186" s="69"/>
      <c r="AW186" s="69"/>
      <c r="AX186" s="69"/>
      <c r="AY186" s="69"/>
      <c r="AZ186" s="69"/>
      <c r="BA186" s="69"/>
      <c r="BB186" s="69"/>
      <c r="BC186" s="69"/>
      <c r="BD186" s="69"/>
      <c r="BE186" s="69"/>
      <c r="BF186" s="69"/>
      <c r="BG186" s="69"/>
      <c r="BH186" s="69"/>
      <c r="BI186" s="69"/>
      <c r="BJ186" s="69"/>
      <c r="BK186" s="69"/>
      <c r="BL186" s="69"/>
      <c r="BM186" s="69"/>
      <c r="BN186" s="69"/>
      <c r="BO186" s="69"/>
      <c r="BP186" s="69"/>
      <c r="BQ186" s="69"/>
      <c r="BR186" s="8"/>
    </row>
    <row r="187" ht="12.0" customHeight="1">
      <c r="A187" s="69"/>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69"/>
      <c r="AS187" s="69"/>
      <c r="AT187" s="69"/>
      <c r="AU187" s="69"/>
      <c r="AV187" s="69"/>
      <c r="AW187" s="69"/>
      <c r="AX187" s="69"/>
      <c r="AY187" s="69"/>
      <c r="AZ187" s="69"/>
      <c r="BA187" s="69"/>
      <c r="BB187" s="69"/>
      <c r="BC187" s="69"/>
      <c r="BD187" s="69"/>
      <c r="BE187" s="69"/>
      <c r="BF187" s="69"/>
      <c r="BG187" s="69"/>
      <c r="BH187" s="69"/>
      <c r="BI187" s="69"/>
      <c r="BJ187" s="69"/>
      <c r="BK187" s="69"/>
      <c r="BL187" s="69"/>
      <c r="BM187" s="69"/>
      <c r="BN187" s="69"/>
      <c r="BO187" s="69"/>
      <c r="BP187" s="69"/>
      <c r="BQ187" s="69"/>
      <c r="BR187" s="8"/>
    </row>
    <row r="188" ht="12.0" customHeight="1">
      <c r="A188" s="69"/>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69"/>
      <c r="AS188" s="69"/>
      <c r="AT188" s="69"/>
      <c r="AU188" s="69"/>
      <c r="AV188" s="69"/>
      <c r="AW188" s="69"/>
      <c r="AX188" s="69"/>
      <c r="AY188" s="69"/>
      <c r="AZ188" s="69"/>
      <c r="BA188" s="69"/>
      <c r="BB188" s="69"/>
      <c r="BC188" s="69"/>
      <c r="BD188" s="69"/>
      <c r="BE188" s="69"/>
      <c r="BF188" s="69"/>
      <c r="BG188" s="69"/>
      <c r="BH188" s="69"/>
      <c r="BI188" s="69"/>
      <c r="BJ188" s="69"/>
      <c r="BK188" s="69"/>
      <c r="BL188" s="69"/>
      <c r="BM188" s="69"/>
      <c r="BN188" s="69"/>
      <c r="BO188" s="69"/>
      <c r="BP188" s="69"/>
      <c r="BQ188" s="69"/>
      <c r="BR188" s="8"/>
    </row>
    <row r="189" ht="12.0" customHeight="1">
      <c r="A189" s="69"/>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69"/>
      <c r="AS189" s="69"/>
      <c r="AT189" s="69"/>
      <c r="AU189" s="69"/>
      <c r="AV189" s="69"/>
      <c r="AW189" s="69"/>
      <c r="AX189" s="69"/>
      <c r="AY189" s="69"/>
      <c r="AZ189" s="69"/>
      <c r="BA189" s="69"/>
      <c r="BB189" s="69"/>
      <c r="BC189" s="69"/>
      <c r="BD189" s="69"/>
      <c r="BE189" s="69"/>
      <c r="BF189" s="69"/>
      <c r="BG189" s="69"/>
      <c r="BH189" s="69"/>
      <c r="BI189" s="69"/>
      <c r="BJ189" s="69"/>
      <c r="BK189" s="69"/>
      <c r="BL189" s="69"/>
      <c r="BM189" s="69"/>
      <c r="BN189" s="69"/>
      <c r="BO189" s="69"/>
      <c r="BP189" s="69"/>
      <c r="BQ189" s="69"/>
      <c r="BR189" s="8"/>
    </row>
    <row r="190" ht="12.0" customHeight="1">
      <c r="A190" s="69"/>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8"/>
    </row>
    <row r="191" ht="12.0" customHeight="1">
      <c r="A191" s="69"/>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8"/>
    </row>
    <row r="192" ht="12.0" customHeight="1">
      <c r="A192" s="69"/>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c r="BN192" s="69"/>
      <c r="BO192" s="69"/>
      <c r="BP192" s="69"/>
      <c r="BQ192" s="69"/>
      <c r="BR192" s="8"/>
    </row>
    <row r="193" ht="12.0" customHeight="1">
      <c r="A193" s="69"/>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69"/>
      <c r="AS193" s="69"/>
      <c r="AT193" s="69"/>
      <c r="AU193" s="69"/>
      <c r="AV193" s="69"/>
      <c r="AW193" s="69"/>
      <c r="AX193" s="69"/>
      <c r="AY193" s="69"/>
      <c r="AZ193" s="69"/>
      <c r="BA193" s="69"/>
      <c r="BB193" s="69"/>
      <c r="BC193" s="69"/>
      <c r="BD193" s="69"/>
      <c r="BE193" s="69"/>
      <c r="BF193" s="69"/>
      <c r="BG193" s="69"/>
      <c r="BH193" s="69"/>
      <c r="BI193" s="69"/>
      <c r="BJ193" s="69"/>
      <c r="BK193" s="69"/>
      <c r="BL193" s="69"/>
      <c r="BM193" s="69"/>
      <c r="BN193" s="69"/>
      <c r="BO193" s="69"/>
      <c r="BP193" s="69"/>
      <c r="BQ193" s="69"/>
      <c r="BR193" s="8"/>
    </row>
    <row r="194" ht="12.0" customHeight="1">
      <c r="A194" s="69"/>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69"/>
      <c r="AS194" s="69"/>
      <c r="AT194" s="69"/>
      <c r="AU194" s="69"/>
      <c r="AV194" s="69"/>
      <c r="AW194" s="69"/>
      <c r="AX194" s="69"/>
      <c r="AY194" s="69"/>
      <c r="AZ194" s="69"/>
      <c r="BA194" s="69"/>
      <c r="BB194" s="69"/>
      <c r="BC194" s="69"/>
      <c r="BD194" s="69"/>
      <c r="BE194" s="69"/>
      <c r="BF194" s="69"/>
      <c r="BG194" s="69"/>
      <c r="BH194" s="69"/>
      <c r="BI194" s="69"/>
      <c r="BJ194" s="69"/>
      <c r="BK194" s="69"/>
      <c r="BL194" s="69"/>
      <c r="BM194" s="69"/>
      <c r="BN194" s="69"/>
      <c r="BO194" s="69"/>
      <c r="BP194" s="69"/>
      <c r="BQ194" s="69"/>
      <c r="BR194" s="8"/>
    </row>
    <row r="195" ht="12.0" customHeight="1">
      <c r="A195" s="69"/>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69"/>
      <c r="AS195" s="69"/>
      <c r="AT195" s="69"/>
      <c r="AU195" s="69"/>
      <c r="AV195" s="69"/>
      <c r="AW195" s="69"/>
      <c r="AX195" s="69"/>
      <c r="AY195" s="69"/>
      <c r="AZ195" s="69"/>
      <c r="BA195" s="69"/>
      <c r="BB195" s="69"/>
      <c r="BC195" s="69"/>
      <c r="BD195" s="69"/>
      <c r="BE195" s="69"/>
      <c r="BF195" s="69"/>
      <c r="BG195" s="69"/>
      <c r="BH195" s="69"/>
      <c r="BI195" s="69"/>
      <c r="BJ195" s="69"/>
      <c r="BK195" s="69"/>
      <c r="BL195" s="69"/>
      <c r="BM195" s="69"/>
      <c r="BN195" s="69"/>
      <c r="BO195" s="69"/>
      <c r="BP195" s="69"/>
      <c r="BQ195" s="69"/>
      <c r="BR195" s="8"/>
    </row>
    <row r="196" ht="12.0" customHeight="1">
      <c r="A196" s="69"/>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69"/>
      <c r="AS196" s="69"/>
      <c r="AT196" s="69"/>
      <c r="AU196" s="69"/>
      <c r="AV196" s="69"/>
      <c r="AW196" s="69"/>
      <c r="AX196" s="69"/>
      <c r="AY196" s="69"/>
      <c r="AZ196" s="69"/>
      <c r="BA196" s="69"/>
      <c r="BB196" s="69"/>
      <c r="BC196" s="69"/>
      <c r="BD196" s="69"/>
      <c r="BE196" s="69"/>
      <c r="BF196" s="69"/>
      <c r="BG196" s="69"/>
      <c r="BH196" s="69"/>
      <c r="BI196" s="69"/>
      <c r="BJ196" s="69"/>
      <c r="BK196" s="69"/>
      <c r="BL196" s="69"/>
      <c r="BM196" s="69"/>
      <c r="BN196" s="69"/>
      <c r="BO196" s="69"/>
      <c r="BP196" s="69"/>
      <c r="BQ196" s="69"/>
      <c r="BR196" s="8"/>
    </row>
    <row r="197" ht="12.0" customHeight="1">
      <c r="A197" s="69"/>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69"/>
      <c r="AS197" s="69"/>
      <c r="AT197" s="69"/>
      <c r="AU197" s="69"/>
      <c r="AV197" s="69"/>
      <c r="AW197" s="69"/>
      <c r="AX197" s="69"/>
      <c r="AY197" s="69"/>
      <c r="AZ197" s="69"/>
      <c r="BA197" s="69"/>
      <c r="BB197" s="69"/>
      <c r="BC197" s="69"/>
      <c r="BD197" s="69"/>
      <c r="BE197" s="69"/>
      <c r="BF197" s="69"/>
      <c r="BG197" s="69"/>
      <c r="BH197" s="69"/>
      <c r="BI197" s="69"/>
      <c r="BJ197" s="69"/>
      <c r="BK197" s="69"/>
      <c r="BL197" s="69"/>
      <c r="BM197" s="69"/>
      <c r="BN197" s="69"/>
      <c r="BO197" s="69"/>
      <c r="BP197" s="69"/>
      <c r="BQ197" s="69"/>
      <c r="BR197" s="8"/>
    </row>
    <row r="198" ht="12.0" customHeight="1">
      <c r="A198" s="69"/>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69"/>
      <c r="AS198" s="69"/>
      <c r="AT198" s="69"/>
      <c r="AU198" s="69"/>
      <c r="AV198" s="69"/>
      <c r="AW198" s="69"/>
      <c r="AX198" s="69"/>
      <c r="AY198" s="69"/>
      <c r="AZ198" s="69"/>
      <c r="BA198" s="69"/>
      <c r="BB198" s="69"/>
      <c r="BC198" s="69"/>
      <c r="BD198" s="69"/>
      <c r="BE198" s="69"/>
      <c r="BF198" s="69"/>
      <c r="BG198" s="69"/>
      <c r="BH198" s="69"/>
      <c r="BI198" s="69"/>
      <c r="BJ198" s="69"/>
      <c r="BK198" s="69"/>
      <c r="BL198" s="69"/>
      <c r="BM198" s="69"/>
      <c r="BN198" s="69"/>
      <c r="BO198" s="69"/>
      <c r="BP198" s="69"/>
      <c r="BQ198" s="69"/>
      <c r="BR198" s="8"/>
    </row>
    <row r="199" ht="12.0" customHeight="1">
      <c r="A199" s="69"/>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69"/>
      <c r="AS199" s="69"/>
      <c r="AT199" s="69"/>
      <c r="AU199" s="69"/>
      <c r="AV199" s="69"/>
      <c r="AW199" s="69"/>
      <c r="AX199" s="69"/>
      <c r="AY199" s="69"/>
      <c r="AZ199" s="69"/>
      <c r="BA199" s="69"/>
      <c r="BB199" s="69"/>
      <c r="BC199" s="69"/>
      <c r="BD199" s="69"/>
      <c r="BE199" s="69"/>
      <c r="BF199" s="69"/>
      <c r="BG199" s="69"/>
      <c r="BH199" s="69"/>
      <c r="BI199" s="69"/>
      <c r="BJ199" s="69"/>
      <c r="BK199" s="69"/>
      <c r="BL199" s="69"/>
      <c r="BM199" s="69"/>
      <c r="BN199" s="69"/>
      <c r="BO199" s="69"/>
      <c r="BP199" s="69"/>
      <c r="BQ199" s="69"/>
      <c r="BR199" s="8"/>
    </row>
    <row r="200" ht="12.0" customHeight="1">
      <c r="A200" s="69"/>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69"/>
      <c r="AS200" s="69"/>
      <c r="AT200" s="69"/>
      <c r="AU200" s="69"/>
      <c r="AV200" s="69"/>
      <c r="AW200" s="69"/>
      <c r="AX200" s="69"/>
      <c r="AY200" s="69"/>
      <c r="AZ200" s="69"/>
      <c r="BA200" s="69"/>
      <c r="BB200" s="69"/>
      <c r="BC200" s="69"/>
      <c r="BD200" s="69"/>
      <c r="BE200" s="69"/>
      <c r="BF200" s="69"/>
      <c r="BG200" s="69"/>
      <c r="BH200" s="69"/>
      <c r="BI200" s="69"/>
      <c r="BJ200" s="69"/>
      <c r="BK200" s="69"/>
      <c r="BL200" s="69"/>
      <c r="BM200" s="69"/>
      <c r="BN200" s="69"/>
      <c r="BO200" s="69"/>
      <c r="BP200" s="69"/>
      <c r="BQ200" s="69"/>
      <c r="BR200" s="8"/>
    </row>
    <row r="201" ht="12.0" customHeight="1">
      <c r="A201" s="69"/>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69"/>
      <c r="AS201" s="69"/>
      <c r="AT201" s="69"/>
      <c r="AU201" s="69"/>
      <c r="AV201" s="69"/>
      <c r="AW201" s="69"/>
      <c r="AX201" s="69"/>
      <c r="AY201" s="69"/>
      <c r="AZ201" s="69"/>
      <c r="BA201" s="69"/>
      <c r="BB201" s="69"/>
      <c r="BC201" s="69"/>
      <c r="BD201" s="69"/>
      <c r="BE201" s="69"/>
      <c r="BF201" s="69"/>
      <c r="BG201" s="69"/>
      <c r="BH201" s="69"/>
      <c r="BI201" s="69"/>
      <c r="BJ201" s="69"/>
      <c r="BK201" s="69"/>
      <c r="BL201" s="69"/>
      <c r="BM201" s="69"/>
      <c r="BN201" s="69"/>
      <c r="BO201" s="69"/>
      <c r="BP201" s="69"/>
      <c r="BQ201" s="69"/>
      <c r="BR201" s="8"/>
    </row>
    <row r="202" ht="12.0" customHeight="1">
      <c r="A202" s="69"/>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69"/>
      <c r="AS202" s="69"/>
      <c r="AT202" s="69"/>
      <c r="AU202" s="69"/>
      <c r="AV202" s="69"/>
      <c r="AW202" s="69"/>
      <c r="AX202" s="69"/>
      <c r="AY202" s="69"/>
      <c r="AZ202" s="69"/>
      <c r="BA202" s="69"/>
      <c r="BB202" s="69"/>
      <c r="BC202" s="69"/>
      <c r="BD202" s="69"/>
      <c r="BE202" s="69"/>
      <c r="BF202" s="69"/>
      <c r="BG202" s="69"/>
      <c r="BH202" s="69"/>
      <c r="BI202" s="69"/>
      <c r="BJ202" s="69"/>
      <c r="BK202" s="69"/>
      <c r="BL202" s="69"/>
      <c r="BM202" s="69"/>
      <c r="BN202" s="69"/>
      <c r="BO202" s="69"/>
      <c r="BP202" s="69"/>
      <c r="BQ202" s="69"/>
      <c r="BR202" s="8"/>
    </row>
    <row r="203" ht="12.0" customHeight="1">
      <c r="A203" s="69"/>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69"/>
      <c r="AS203" s="69"/>
      <c r="AT203" s="69"/>
      <c r="AU203" s="69"/>
      <c r="AV203" s="69"/>
      <c r="AW203" s="69"/>
      <c r="AX203" s="69"/>
      <c r="AY203" s="69"/>
      <c r="AZ203" s="69"/>
      <c r="BA203" s="69"/>
      <c r="BB203" s="69"/>
      <c r="BC203" s="69"/>
      <c r="BD203" s="69"/>
      <c r="BE203" s="69"/>
      <c r="BF203" s="69"/>
      <c r="BG203" s="69"/>
      <c r="BH203" s="69"/>
      <c r="BI203" s="69"/>
      <c r="BJ203" s="69"/>
      <c r="BK203" s="69"/>
      <c r="BL203" s="69"/>
      <c r="BM203" s="69"/>
      <c r="BN203" s="69"/>
      <c r="BO203" s="69"/>
      <c r="BP203" s="69"/>
      <c r="BQ203" s="69"/>
      <c r="BR203" s="8"/>
    </row>
    <row r="204" ht="12.0" customHeight="1">
      <c r="A204" s="69"/>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69"/>
      <c r="AS204" s="69"/>
      <c r="AT204" s="69"/>
      <c r="AU204" s="69"/>
      <c r="AV204" s="69"/>
      <c r="AW204" s="69"/>
      <c r="AX204" s="69"/>
      <c r="AY204" s="69"/>
      <c r="AZ204" s="69"/>
      <c r="BA204" s="69"/>
      <c r="BB204" s="69"/>
      <c r="BC204" s="69"/>
      <c r="BD204" s="69"/>
      <c r="BE204" s="69"/>
      <c r="BF204" s="69"/>
      <c r="BG204" s="69"/>
      <c r="BH204" s="69"/>
      <c r="BI204" s="69"/>
      <c r="BJ204" s="69"/>
      <c r="BK204" s="69"/>
      <c r="BL204" s="69"/>
      <c r="BM204" s="69"/>
      <c r="BN204" s="69"/>
      <c r="BO204" s="69"/>
      <c r="BP204" s="69"/>
      <c r="BQ204" s="69"/>
      <c r="BR204" s="8"/>
    </row>
    <row r="205" ht="12.0" customHeight="1">
      <c r="A205" s="69"/>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69"/>
      <c r="AS205" s="69"/>
      <c r="AT205" s="69"/>
      <c r="AU205" s="69"/>
      <c r="AV205" s="69"/>
      <c r="AW205" s="69"/>
      <c r="AX205" s="69"/>
      <c r="AY205" s="69"/>
      <c r="AZ205" s="69"/>
      <c r="BA205" s="69"/>
      <c r="BB205" s="69"/>
      <c r="BC205" s="69"/>
      <c r="BD205" s="69"/>
      <c r="BE205" s="69"/>
      <c r="BF205" s="69"/>
      <c r="BG205" s="69"/>
      <c r="BH205" s="69"/>
      <c r="BI205" s="69"/>
      <c r="BJ205" s="69"/>
      <c r="BK205" s="69"/>
      <c r="BL205" s="69"/>
      <c r="BM205" s="69"/>
      <c r="BN205" s="69"/>
      <c r="BO205" s="69"/>
      <c r="BP205" s="69"/>
      <c r="BQ205" s="69"/>
      <c r="BR205" s="8"/>
    </row>
    <row r="206" ht="12.0" customHeight="1">
      <c r="A206" s="69"/>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69"/>
      <c r="AS206" s="69"/>
      <c r="AT206" s="69"/>
      <c r="AU206" s="69"/>
      <c r="AV206" s="69"/>
      <c r="AW206" s="69"/>
      <c r="AX206" s="69"/>
      <c r="AY206" s="69"/>
      <c r="AZ206" s="69"/>
      <c r="BA206" s="69"/>
      <c r="BB206" s="69"/>
      <c r="BC206" s="69"/>
      <c r="BD206" s="69"/>
      <c r="BE206" s="69"/>
      <c r="BF206" s="69"/>
      <c r="BG206" s="69"/>
      <c r="BH206" s="69"/>
      <c r="BI206" s="69"/>
      <c r="BJ206" s="69"/>
      <c r="BK206" s="69"/>
      <c r="BL206" s="69"/>
      <c r="BM206" s="69"/>
      <c r="BN206" s="69"/>
      <c r="BO206" s="69"/>
      <c r="BP206" s="69"/>
      <c r="BQ206" s="69"/>
      <c r="BR206" s="8"/>
    </row>
    <row r="207" ht="12.0" customHeight="1">
      <c r="A207" s="69"/>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69"/>
      <c r="AS207" s="69"/>
      <c r="AT207" s="69"/>
      <c r="AU207" s="69"/>
      <c r="AV207" s="69"/>
      <c r="AW207" s="69"/>
      <c r="AX207" s="69"/>
      <c r="AY207" s="69"/>
      <c r="AZ207" s="69"/>
      <c r="BA207" s="69"/>
      <c r="BB207" s="69"/>
      <c r="BC207" s="69"/>
      <c r="BD207" s="69"/>
      <c r="BE207" s="69"/>
      <c r="BF207" s="69"/>
      <c r="BG207" s="69"/>
      <c r="BH207" s="69"/>
      <c r="BI207" s="69"/>
      <c r="BJ207" s="69"/>
      <c r="BK207" s="69"/>
      <c r="BL207" s="69"/>
      <c r="BM207" s="69"/>
      <c r="BN207" s="69"/>
      <c r="BO207" s="69"/>
      <c r="BP207" s="69"/>
      <c r="BQ207" s="69"/>
      <c r="BR207" s="8"/>
    </row>
    <row r="208" ht="12.0" customHeight="1">
      <c r="A208" s="69"/>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69"/>
      <c r="AS208" s="69"/>
      <c r="AT208" s="69"/>
      <c r="AU208" s="69"/>
      <c r="AV208" s="69"/>
      <c r="AW208" s="69"/>
      <c r="AX208" s="69"/>
      <c r="AY208" s="69"/>
      <c r="AZ208" s="69"/>
      <c r="BA208" s="69"/>
      <c r="BB208" s="69"/>
      <c r="BC208" s="69"/>
      <c r="BD208" s="69"/>
      <c r="BE208" s="69"/>
      <c r="BF208" s="69"/>
      <c r="BG208" s="69"/>
      <c r="BH208" s="69"/>
      <c r="BI208" s="69"/>
      <c r="BJ208" s="69"/>
      <c r="BK208" s="69"/>
      <c r="BL208" s="69"/>
      <c r="BM208" s="69"/>
      <c r="BN208" s="69"/>
      <c r="BO208" s="69"/>
      <c r="BP208" s="69"/>
      <c r="BQ208" s="69"/>
      <c r="BR208" s="8"/>
    </row>
    <row r="209" ht="12.0" customHeight="1">
      <c r="A209" s="69"/>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69"/>
      <c r="AS209" s="69"/>
      <c r="AT209" s="69"/>
      <c r="AU209" s="69"/>
      <c r="AV209" s="69"/>
      <c r="AW209" s="69"/>
      <c r="AX209" s="69"/>
      <c r="AY209" s="69"/>
      <c r="AZ209" s="69"/>
      <c r="BA209" s="69"/>
      <c r="BB209" s="69"/>
      <c r="BC209" s="69"/>
      <c r="BD209" s="69"/>
      <c r="BE209" s="69"/>
      <c r="BF209" s="69"/>
      <c r="BG209" s="69"/>
      <c r="BH209" s="69"/>
      <c r="BI209" s="69"/>
      <c r="BJ209" s="69"/>
      <c r="BK209" s="69"/>
      <c r="BL209" s="69"/>
      <c r="BM209" s="69"/>
      <c r="BN209" s="69"/>
      <c r="BO209" s="69"/>
      <c r="BP209" s="69"/>
      <c r="BQ209" s="69"/>
      <c r="BR209" s="8"/>
    </row>
    <row r="210" ht="12.0" customHeight="1">
      <c r="A210" s="69"/>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69"/>
      <c r="AS210" s="69"/>
      <c r="AT210" s="69"/>
      <c r="AU210" s="69"/>
      <c r="AV210" s="69"/>
      <c r="AW210" s="69"/>
      <c r="AX210" s="69"/>
      <c r="AY210" s="69"/>
      <c r="AZ210" s="69"/>
      <c r="BA210" s="69"/>
      <c r="BB210" s="69"/>
      <c r="BC210" s="69"/>
      <c r="BD210" s="69"/>
      <c r="BE210" s="69"/>
      <c r="BF210" s="69"/>
      <c r="BG210" s="69"/>
      <c r="BH210" s="69"/>
      <c r="BI210" s="69"/>
      <c r="BJ210" s="69"/>
      <c r="BK210" s="69"/>
      <c r="BL210" s="69"/>
      <c r="BM210" s="69"/>
      <c r="BN210" s="69"/>
      <c r="BO210" s="69"/>
      <c r="BP210" s="69"/>
      <c r="BQ210" s="69"/>
      <c r="BR210" s="8"/>
    </row>
    <row r="211" ht="12.0" customHeight="1">
      <c r="A211" s="69"/>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69"/>
      <c r="AS211" s="69"/>
      <c r="AT211" s="69"/>
      <c r="AU211" s="69"/>
      <c r="AV211" s="69"/>
      <c r="AW211" s="69"/>
      <c r="AX211" s="69"/>
      <c r="AY211" s="69"/>
      <c r="AZ211" s="69"/>
      <c r="BA211" s="69"/>
      <c r="BB211" s="69"/>
      <c r="BC211" s="69"/>
      <c r="BD211" s="69"/>
      <c r="BE211" s="69"/>
      <c r="BF211" s="69"/>
      <c r="BG211" s="69"/>
      <c r="BH211" s="69"/>
      <c r="BI211" s="69"/>
      <c r="BJ211" s="69"/>
      <c r="BK211" s="69"/>
      <c r="BL211" s="69"/>
      <c r="BM211" s="69"/>
      <c r="BN211" s="69"/>
      <c r="BO211" s="69"/>
      <c r="BP211" s="69"/>
      <c r="BQ211" s="69"/>
      <c r="BR211" s="8"/>
    </row>
    <row r="212" ht="12.0" customHeight="1">
      <c r="A212" s="69"/>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69"/>
      <c r="AS212" s="69"/>
      <c r="AT212" s="69"/>
      <c r="AU212" s="69"/>
      <c r="AV212" s="69"/>
      <c r="AW212" s="69"/>
      <c r="AX212" s="69"/>
      <c r="AY212" s="69"/>
      <c r="AZ212" s="69"/>
      <c r="BA212" s="69"/>
      <c r="BB212" s="69"/>
      <c r="BC212" s="69"/>
      <c r="BD212" s="69"/>
      <c r="BE212" s="69"/>
      <c r="BF212" s="69"/>
      <c r="BG212" s="69"/>
      <c r="BH212" s="69"/>
      <c r="BI212" s="69"/>
      <c r="BJ212" s="69"/>
      <c r="BK212" s="69"/>
      <c r="BL212" s="69"/>
      <c r="BM212" s="69"/>
      <c r="BN212" s="69"/>
      <c r="BO212" s="69"/>
      <c r="BP212" s="69"/>
      <c r="BQ212" s="69"/>
      <c r="BR212" s="8"/>
    </row>
    <row r="213" ht="12.0" customHeight="1">
      <c r="A213" s="69"/>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69"/>
      <c r="AS213" s="69"/>
      <c r="AT213" s="69"/>
      <c r="AU213" s="69"/>
      <c r="AV213" s="69"/>
      <c r="AW213" s="69"/>
      <c r="AX213" s="69"/>
      <c r="AY213" s="69"/>
      <c r="AZ213" s="69"/>
      <c r="BA213" s="69"/>
      <c r="BB213" s="69"/>
      <c r="BC213" s="69"/>
      <c r="BD213" s="69"/>
      <c r="BE213" s="69"/>
      <c r="BF213" s="69"/>
      <c r="BG213" s="69"/>
      <c r="BH213" s="69"/>
      <c r="BI213" s="69"/>
      <c r="BJ213" s="69"/>
      <c r="BK213" s="69"/>
      <c r="BL213" s="69"/>
      <c r="BM213" s="69"/>
      <c r="BN213" s="69"/>
      <c r="BO213" s="69"/>
      <c r="BP213" s="69"/>
      <c r="BQ213" s="69"/>
      <c r="BR213" s="8"/>
    </row>
    <row r="214" ht="12.0" customHeight="1">
      <c r="A214" s="69"/>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69"/>
      <c r="AS214" s="69"/>
      <c r="AT214" s="69"/>
      <c r="AU214" s="69"/>
      <c r="AV214" s="69"/>
      <c r="AW214" s="69"/>
      <c r="AX214" s="69"/>
      <c r="AY214" s="69"/>
      <c r="AZ214" s="69"/>
      <c r="BA214" s="69"/>
      <c r="BB214" s="69"/>
      <c r="BC214" s="69"/>
      <c r="BD214" s="69"/>
      <c r="BE214" s="69"/>
      <c r="BF214" s="69"/>
      <c r="BG214" s="69"/>
      <c r="BH214" s="69"/>
      <c r="BI214" s="69"/>
      <c r="BJ214" s="69"/>
      <c r="BK214" s="69"/>
      <c r="BL214" s="69"/>
      <c r="BM214" s="69"/>
      <c r="BN214" s="69"/>
      <c r="BO214" s="69"/>
      <c r="BP214" s="69"/>
      <c r="BQ214" s="69"/>
      <c r="BR214" s="8"/>
    </row>
    <row r="215" ht="12.0" customHeight="1">
      <c r="A215" s="69"/>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69"/>
      <c r="AS215" s="69"/>
      <c r="AT215" s="69"/>
      <c r="AU215" s="69"/>
      <c r="AV215" s="69"/>
      <c r="AW215" s="69"/>
      <c r="AX215" s="69"/>
      <c r="AY215" s="69"/>
      <c r="AZ215" s="69"/>
      <c r="BA215" s="69"/>
      <c r="BB215" s="69"/>
      <c r="BC215" s="69"/>
      <c r="BD215" s="69"/>
      <c r="BE215" s="69"/>
      <c r="BF215" s="69"/>
      <c r="BG215" s="69"/>
      <c r="BH215" s="69"/>
      <c r="BI215" s="69"/>
      <c r="BJ215" s="69"/>
      <c r="BK215" s="69"/>
      <c r="BL215" s="69"/>
      <c r="BM215" s="69"/>
      <c r="BN215" s="69"/>
      <c r="BO215" s="69"/>
      <c r="BP215" s="69"/>
      <c r="BQ215" s="69"/>
      <c r="BR215" s="8"/>
    </row>
    <row r="216" ht="12.0" customHeight="1">
      <c r="A216" s="69"/>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69"/>
      <c r="AS216" s="69"/>
      <c r="AT216" s="69"/>
      <c r="AU216" s="69"/>
      <c r="AV216" s="69"/>
      <c r="AW216" s="69"/>
      <c r="AX216" s="69"/>
      <c r="AY216" s="69"/>
      <c r="AZ216" s="69"/>
      <c r="BA216" s="69"/>
      <c r="BB216" s="69"/>
      <c r="BC216" s="69"/>
      <c r="BD216" s="69"/>
      <c r="BE216" s="69"/>
      <c r="BF216" s="69"/>
      <c r="BG216" s="69"/>
      <c r="BH216" s="69"/>
      <c r="BI216" s="69"/>
      <c r="BJ216" s="69"/>
      <c r="BK216" s="69"/>
      <c r="BL216" s="69"/>
      <c r="BM216" s="69"/>
      <c r="BN216" s="69"/>
      <c r="BO216" s="69"/>
      <c r="BP216" s="69"/>
      <c r="BQ216" s="69"/>
      <c r="BR216" s="8"/>
    </row>
    <row r="217" ht="12.0" customHeight="1">
      <c r="A217" s="69"/>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69"/>
      <c r="AS217" s="69"/>
      <c r="AT217" s="69"/>
      <c r="AU217" s="69"/>
      <c r="AV217" s="69"/>
      <c r="AW217" s="69"/>
      <c r="AX217" s="69"/>
      <c r="AY217" s="69"/>
      <c r="AZ217" s="69"/>
      <c r="BA217" s="69"/>
      <c r="BB217" s="69"/>
      <c r="BC217" s="69"/>
      <c r="BD217" s="69"/>
      <c r="BE217" s="69"/>
      <c r="BF217" s="69"/>
      <c r="BG217" s="69"/>
      <c r="BH217" s="69"/>
      <c r="BI217" s="69"/>
      <c r="BJ217" s="69"/>
      <c r="BK217" s="69"/>
      <c r="BL217" s="69"/>
      <c r="BM217" s="69"/>
      <c r="BN217" s="69"/>
      <c r="BO217" s="69"/>
      <c r="BP217" s="69"/>
      <c r="BQ217" s="69"/>
      <c r="BR217" s="8"/>
    </row>
    <row r="218" ht="12.0" customHeight="1">
      <c r="A218" s="69"/>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69"/>
      <c r="AS218" s="69"/>
      <c r="AT218" s="69"/>
      <c r="AU218" s="69"/>
      <c r="AV218" s="69"/>
      <c r="AW218" s="69"/>
      <c r="AX218" s="69"/>
      <c r="AY218" s="69"/>
      <c r="AZ218" s="69"/>
      <c r="BA218" s="69"/>
      <c r="BB218" s="69"/>
      <c r="BC218" s="69"/>
      <c r="BD218" s="69"/>
      <c r="BE218" s="69"/>
      <c r="BF218" s="69"/>
      <c r="BG218" s="69"/>
      <c r="BH218" s="69"/>
      <c r="BI218" s="69"/>
      <c r="BJ218" s="69"/>
      <c r="BK218" s="69"/>
      <c r="BL218" s="69"/>
      <c r="BM218" s="69"/>
      <c r="BN218" s="69"/>
      <c r="BO218" s="69"/>
      <c r="BP218" s="69"/>
      <c r="BQ218" s="69"/>
      <c r="BR218" s="8"/>
    </row>
    <row r="219" ht="12.0" customHeight="1">
      <c r="A219" s="69"/>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69"/>
      <c r="AS219" s="69"/>
      <c r="AT219" s="69"/>
      <c r="AU219" s="69"/>
      <c r="AV219" s="69"/>
      <c r="AW219" s="69"/>
      <c r="AX219" s="69"/>
      <c r="AY219" s="69"/>
      <c r="AZ219" s="69"/>
      <c r="BA219" s="69"/>
      <c r="BB219" s="69"/>
      <c r="BC219" s="69"/>
      <c r="BD219" s="69"/>
      <c r="BE219" s="69"/>
      <c r="BF219" s="69"/>
      <c r="BG219" s="69"/>
      <c r="BH219" s="69"/>
      <c r="BI219" s="69"/>
      <c r="BJ219" s="69"/>
      <c r="BK219" s="69"/>
      <c r="BL219" s="69"/>
      <c r="BM219" s="69"/>
      <c r="BN219" s="69"/>
      <c r="BO219" s="69"/>
      <c r="BP219" s="69"/>
      <c r="BQ219" s="69"/>
      <c r="BR219" s="8"/>
    </row>
    <row r="220" ht="12.0" customHeight="1">
      <c r="A220" s="69"/>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69"/>
      <c r="AS220" s="69"/>
      <c r="AT220" s="69"/>
      <c r="AU220" s="69"/>
      <c r="AV220" s="69"/>
      <c r="AW220" s="69"/>
      <c r="AX220" s="69"/>
      <c r="AY220" s="69"/>
      <c r="AZ220" s="69"/>
      <c r="BA220" s="69"/>
      <c r="BB220" s="69"/>
      <c r="BC220" s="69"/>
      <c r="BD220" s="69"/>
      <c r="BE220" s="69"/>
      <c r="BF220" s="69"/>
      <c r="BG220" s="69"/>
      <c r="BH220" s="69"/>
      <c r="BI220" s="69"/>
      <c r="BJ220" s="69"/>
      <c r="BK220" s="69"/>
      <c r="BL220" s="69"/>
      <c r="BM220" s="69"/>
      <c r="BN220" s="69"/>
      <c r="BO220" s="69"/>
      <c r="BP220" s="69"/>
      <c r="BQ220" s="69"/>
      <c r="BR220" s="8"/>
    </row>
    <row r="221" ht="12.0" customHeight="1">
      <c r="A221" s="69"/>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69"/>
      <c r="AS221" s="69"/>
      <c r="AT221" s="69"/>
      <c r="AU221" s="69"/>
      <c r="AV221" s="69"/>
      <c r="AW221" s="69"/>
      <c r="AX221" s="69"/>
      <c r="AY221" s="69"/>
      <c r="AZ221" s="69"/>
      <c r="BA221" s="69"/>
      <c r="BB221" s="69"/>
      <c r="BC221" s="69"/>
      <c r="BD221" s="69"/>
      <c r="BE221" s="69"/>
      <c r="BF221" s="69"/>
      <c r="BG221" s="69"/>
      <c r="BH221" s="69"/>
      <c r="BI221" s="69"/>
      <c r="BJ221" s="69"/>
      <c r="BK221" s="69"/>
      <c r="BL221" s="69"/>
      <c r="BM221" s="69"/>
      <c r="BN221" s="69"/>
      <c r="BO221" s="69"/>
      <c r="BP221" s="69"/>
      <c r="BQ221" s="69"/>
      <c r="BR221" s="8"/>
    </row>
    <row r="222" ht="12.0" customHeight="1">
      <c r="A222" s="69"/>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69"/>
      <c r="AS222" s="69"/>
      <c r="AT222" s="69"/>
      <c r="AU222" s="69"/>
      <c r="AV222" s="69"/>
      <c r="AW222" s="69"/>
      <c r="AX222" s="69"/>
      <c r="AY222" s="69"/>
      <c r="AZ222" s="69"/>
      <c r="BA222" s="69"/>
      <c r="BB222" s="69"/>
      <c r="BC222" s="69"/>
      <c r="BD222" s="69"/>
      <c r="BE222" s="69"/>
      <c r="BF222" s="69"/>
      <c r="BG222" s="69"/>
      <c r="BH222" s="69"/>
      <c r="BI222" s="69"/>
      <c r="BJ222" s="69"/>
      <c r="BK222" s="69"/>
      <c r="BL222" s="69"/>
      <c r="BM222" s="69"/>
      <c r="BN222" s="69"/>
      <c r="BO222" s="69"/>
      <c r="BP222" s="69"/>
      <c r="BQ222" s="69"/>
      <c r="BR222" s="8"/>
    </row>
    <row r="223" ht="12.0" customHeight="1">
      <c r="A223" s="69"/>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69"/>
      <c r="AS223" s="69"/>
      <c r="AT223" s="69"/>
      <c r="AU223" s="69"/>
      <c r="AV223" s="69"/>
      <c r="AW223" s="69"/>
      <c r="AX223" s="69"/>
      <c r="AY223" s="69"/>
      <c r="AZ223" s="69"/>
      <c r="BA223" s="69"/>
      <c r="BB223" s="69"/>
      <c r="BC223" s="69"/>
      <c r="BD223" s="69"/>
      <c r="BE223" s="69"/>
      <c r="BF223" s="69"/>
      <c r="BG223" s="69"/>
      <c r="BH223" s="69"/>
      <c r="BI223" s="69"/>
      <c r="BJ223" s="69"/>
      <c r="BK223" s="69"/>
      <c r="BL223" s="69"/>
      <c r="BM223" s="69"/>
      <c r="BN223" s="69"/>
      <c r="BO223" s="69"/>
      <c r="BP223" s="69"/>
      <c r="BQ223" s="69"/>
      <c r="BR223" s="8"/>
    </row>
    <row r="224" ht="12.0" customHeight="1">
      <c r="A224" s="69"/>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69"/>
      <c r="AS224" s="69"/>
      <c r="AT224" s="69"/>
      <c r="AU224" s="69"/>
      <c r="AV224" s="69"/>
      <c r="AW224" s="69"/>
      <c r="AX224" s="69"/>
      <c r="AY224" s="69"/>
      <c r="AZ224" s="69"/>
      <c r="BA224" s="69"/>
      <c r="BB224" s="69"/>
      <c r="BC224" s="69"/>
      <c r="BD224" s="69"/>
      <c r="BE224" s="69"/>
      <c r="BF224" s="69"/>
      <c r="BG224" s="69"/>
      <c r="BH224" s="69"/>
      <c r="BI224" s="69"/>
      <c r="BJ224" s="69"/>
      <c r="BK224" s="69"/>
      <c r="BL224" s="69"/>
      <c r="BM224" s="69"/>
      <c r="BN224" s="69"/>
      <c r="BO224" s="69"/>
      <c r="BP224" s="69"/>
      <c r="BQ224" s="69"/>
      <c r="BR224" s="8"/>
    </row>
    <row r="225" ht="12.0" customHeight="1">
      <c r="A225" s="69"/>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69"/>
      <c r="AS225" s="69"/>
      <c r="AT225" s="69"/>
      <c r="AU225" s="69"/>
      <c r="AV225" s="69"/>
      <c r="AW225" s="69"/>
      <c r="AX225" s="69"/>
      <c r="AY225" s="69"/>
      <c r="AZ225" s="69"/>
      <c r="BA225" s="69"/>
      <c r="BB225" s="69"/>
      <c r="BC225" s="69"/>
      <c r="BD225" s="69"/>
      <c r="BE225" s="69"/>
      <c r="BF225" s="69"/>
      <c r="BG225" s="69"/>
      <c r="BH225" s="69"/>
      <c r="BI225" s="69"/>
      <c r="BJ225" s="69"/>
      <c r="BK225" s="69"/>
      <c r="BL225" s="69"/>
      <c r="BM225" s="69"/>
      <c r="BN225" s="69"/>
      <c r="BO225" s="69"/>
      <c r="BP225" s="69"/>
      <c r="BQ225" s="69"/>
      <c r="BR225" s="8"/>
    </row>
    <row r="226" ht="12.0" customHeight="1">
      <c r="A226" s="69"/>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69"/>
      <c r="AS226" s="69"/>
      <c r="AT226" s="69"/>
      <c r="AU226" s="69"/>
      <c r="AV226" s="69"/>
      <c r="AW226" s="69"/>
      <c r="AX226" s="69"/>
      <c r="AY226" s="69"/>
      <c r="AZ226" s="69"/>
      <c r="BA226" s="69"/>
      <c r="BB226" s="69"/>
      <c r="BC226" s="69"/>
      <c r="BD226" s="69"/>
      <c r="BE226" s="69"/>
      <c r="BF226" s="69"/>
      <c r="BG226" s="69"/>
      <c r="BH226" s="69"/>
      <c r="BI226" s="69"/>
      <c r="BJ226" s="69"/>
      <c r="BK226" s="69"/>
      <c r="BL226" s="69"/>
      <c r="BM226" s="69"/>
      <c r="BN226" s="69"/>
      <c r="BO226" s="69"/>
      <c r="BP226" s="69"/>
      <c r="BQ226" s="69"/>
      <c r="BR226" s="8"/>
    </row>
    <row r="227" ht="12.0" customHeight="1">
      <c r="A227" s="69"/>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69"/>
      <c r="AS227" s="69"/>
      <c r="AT227" s="69"/>
      <c r="AU227" s="69"/>
      <c r="AV227" s="69"/>
      <c r="AW227" s="69"/>
      <c r="AX227" s="69"/>
      <c r="AY227" s="69"/>
      <c r="AZ227" s="69"/>
      <c r="BA227" s="69"/>
      <c r="BB227" s="69"/>
      <c r="BC227" s="69"/>
      <c r="BD227" s="69"/>
      <c r="BE227" s="69"/>
      <c r="BF227" s="69"/>
      <c r="BG227" s="69"/>
      <c r="BH227" s="69"/>
      <c r="BI227" s="69"/>
      <c r="BJ227" s="69"/>
      <c r="BK227" s="69"/>
      <c r="BL227" s="69"/>
      <c r="BM227" s="69"/>
      <c r="BN227" s="69"/>
      <c r="BO227" s="69"/>
      <c r="BP227" s="69"/>
      <c r="BQ227" s="69"/>
      <c r="BR227" s="8"/>
    </row>
    <row r="228" ht="12.0" customHeight="1">
      <c r="A228" s="69"/>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69"/>
      <c r="AS228" s="69"/>
      <c r="AT228" s="69"/>
      <c r="AU228" s="69"/>
      <c r="AV228" s="69"/>
      <c r="AW228" s="69"/>
      <c r="AX228" s="69"/>
      <c r="AY228" s="69"/>
      <c r="AZ228" s="69"/>
      <c r="BA228" s="69"/>
      <c r="BB228" s="69"/>
      <c r="BC228" s="69"/>
      <c r="BD228" s="69"/>
      <c r="BE228" s="69"/>
      <c r="BF228" s="69"/>
      <c r="BG228" s="69"/>
      <c r="BH228" s="69"/>
      <c r="BI228" s="69"/>
      <c r="BJ228" s="69"/>
      <c r="BK228" s="69"/>
      <c r="BL228" s="69"/>
      <c r="BM228" s="69"/>
      <c r="BN228" s="69"/>
      <c r="BO228" s="69"/>
      <c r="BP228" s="69"/>
      <c r="BQ228" s="69"/>
      <c r="BR228" s="8"/>
    </row>
    <row r="229" ht="12.0" customHeight="1">
      <c r="A229" s="69"/>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69"/>
      <c r="AS229" s="69"/>
      <c r="AT229" s="69"/>
      <c r="AU229" s="69"/>
      <c r="AV229" s="69"/>
      <c r="AW229" s="69"/>
      <c r="AX229" s="69"/>
      <c r="AY229" s="69"/>
      <c r="AZ229" s="69"/>
      <c r="BA229" s="69"/>
      <c r="BB229" s="69"/>
      <c r="BC229" s="69"/>
      <c r="BD229" s="69"/>
      <c r="BE229" s="69"/>
      <c r="BF229" s="69"/>
      <c r="BG229" s="69"/>
      <c r="BH229" s="69"/>
      <c r="BI229" s="69"/>
      <c r="BJ229" s="69"/>
      <c r="BK229" s="69"/>
      <c r="BL229" s="69"/>
      <c r="BM229" s="69"/>
      <c r="BN229" s="69"/>
      <c r="BO229" s="69"/>
      <c r="BP229" s="69"/>
      <c r="BQ229" s="69"/>
      <c r="BR229" s="8"/>
    </row>
    <row r="230" ht="12.0" customHeight="1">
      <c r="A230" s="69"/>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69"/>
      <c r="AS230" s="69"/>
      <c r="AT230" s="69"/>
      <c r="AU230" s="69"/>
      <c r="AV230" s="69"/>
      <c r="AW230" s="69"/>
      <c r="AX230" s="69"/>
      <c r="AY230" s="69"/>
      <c r="AZ230" s="69"/>
      <c r="BA230" s="69"/>
      <c r="BB230" s="69"/>
      <c r="BC230" s="69"/>
      <c r="BD230" s="69"/>
      <c r="BE230" s="69"/>
      <c r="BF230" s="69"/>
      <c r="BG230" s="69"/>
      <c r="BH230" s="69"/>
      <c r="BI230" s="69"/>
      <c r="BJ230" s="69"/>
      <c r="BK230" s="69"/>
      <c r="BL230" s="69"/>
      <c r="BM230" s="69"/>
      <c r="BN230" s="69"/>
      <c r="BO230" s="69"/>
      <c r="BP230" s="69"/>
      <c r="BQ230" s="69"/>
      <c r="BR230" s="8"/>
    </row>
    <row r="231" ht="12.0" customHeight="1">
      <c r="A231" s="69"/>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69"/>
      <c r="AS231" s="69"/>
      <c r="AT231" s="69"/>
      <c r="AU231" s="69"/>
      <c r="AV231" s="69"/>
      <c r="AW231" s="69"/>
      <c r="AX231" s="69"/>
      <c r="AY231" s="69"/>
      <c r="AZ231" s="69"/>
      <c r="BA231" s="69"/>
      <c r="BB231" s="69"/>
      <c r="BC231" s="69"/>
      <c r="BD231" s="69"/>
      <c r="BE231" s="69"/>
      <c r="BF231" s="69"/>
      <c r="BG231" s="69"/>
      <c r="BH231" s="69"/>
      <c r="BI231" s="69"/>
      <c r="BJ231" s="69"/>
      <c r="BK231" s="69"/>
      <c r="BL231" s="69"/>
      <c r="BM231" s="69"/>
      <c r="BN231" s="69"/>
      <c r="BO231" s="69"/>
      <c r="BP231" s="69"/>
      <c r="BQ231" s="69"/>
      <c r="BR231" s="8"/>
    </row>
    <row r="232" ht="12.0" customHeight="1">
      <c r="A232" s="69"/>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c r="BN232" s="69"/>
      <c r="BO232" s="69"/>
      <c r="BP232" s="69"/>
      <c r="BQ232" s="69"/>
      <c r="BR232" s="8"/>
    </row>
    <row r="233" ht="12.0" customHeight="1">
      <c r="A233" s="69"/>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69"/>
      <c r="AS233" s="69"/>
      <c r="AT233" s="69"/>
      <c r="AU233" s="69"/>
      <c r="AV233" s="69"/>
      <c r="AW233" s="69"/>
      <c r="AX233" s="69"/>
      <c r="AY233" s="69"/>
      <c r="AZ233" s="69"/>
      <c r="BA233" s="69"/>
      <c r="BB233" s="69"/>
      <c r="BC233" s="69"/>
      <c r="BD233" s="69"/>
      <c r="BE233" s="69"/>
      <c r="BF233" s="69"/>
      <c r="BG233" s="69"/>
      <c r="BH233" s="69"/>
      <c r="BI233" s="69"/>
      <c r="BJ233" s="69"/>
      <c r="BK233" s="69"/>
      <c r="BL233" s="69"/>
      <c r="BM233" s="69"/>
      <c r="BN233" s="69"/>
      <c r="BO233" s="69"/>
      <c r="BP233" s="69"/>
      <c r="BQ233" s="69"/>
      <c r="BR233" s="8"/>
    </row>
    <row r="234" ht="12.0" customHeight="1">
      <c r="A234" s="69"/>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69"/>
      <c r="AS234" s="69"/>
      <c r="AT234" s="69"/>
      <c r="AU234" s="69"/>
      <c r="AV234" s="69"/>
      <c r="AW234" s="69"/>
      <c r="AX234" s="69"/>
      <c r="AY234" s="69"/>
      <c r="AZ234" s="69"/>
      <c r="BA234" s="69"/>
      <c r="BB234" s="69"/>
      <c r="BC234" s="69"/>
      <c r="BD234" s="69"/>
      <c r="BE234" s="69"/>
      <c r="BF234" s="69"/>
      <c r="BG234" s="69"/>
      <c r="BH234" s="69"/>
      <c r="BI234" s="69"/>
      <c r="BJ234" s="69"/>
      <c r="BK234" s="69"/>
      <c r="BL234" s="69"/>
      <c r="BM234" s="69"/>
      <c r="BN234" s="69"/>
      <c r="BO234" s="69"/>
      <c r="BP234" s="69"/>
      <c r="BQ234" s="69"/>
      <c r="BR234" s="8"/>
    </row>
    <row r="235" ht="12.0" customHeight="1">
      <c r="A235" s="69"/>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69"/>
      <c r="AS235" s="69"/>
      <c r="AT235" s="69"/>
      <c r="AU235" s="69"/>
      <c r="AV235" s="69"/>
      <c r="AW235" s="69"/>
      <c r="AX235" s="69"/>
      <c r="AY235" s="69"/>
      <c r="AZ235" s="69"/>
      <c r="BA235" s="69"/>
      <c r="BB235" s="69"/>
      <c r="BC235" s="69"/>
      <c r="BD235" s="69"/>
      <c r="BE235" s="69"/>
      <c r="BF235" s="69"/>
      <c r="BG235" s="69"/>
      <c r="BH235" s="69"/>
      <c r="BI235" s="69"/>
      <c r="BJ235" s="69"/>
      <c r="BK235" s="69"/>
      <c r="BL235" s="69"/>
      <c r="BM235" s="69"/>
      <c r="BN235" s="69"/>
      <c r="BO235" s="69"/>
      <c r="BP235" s="69"/>
      <c r="BQ235" s="69"/>
      <c r="BR235" s="8"/>
    </row>
    <row r="236" ht="12.0" customHeight="1">
      <c r="A236" s="69"/>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69"/>
      <c r="AS236" s="69"/>
      <c r="AT236" s="69"/>
      <c r="AU236" s="69"/>
      <c r="AV236" s="69"/>
      <c r="AW236" s="69"/>
      <c r="AX236" s="69"/>
      <c r="AY236" s="69"/>
      <c r="AZ236" s="69"/>
      <c r="BA236" s="69"/>
      <c r="BB236" s="69"/>
      <c r="BC236" s="69"/>
      <c r="BD236" s="69"/>
      <c r="BE236" s="69"/>
      <c r="BF236" s="69"/>
      <c r="BG236" s="69"/>
      <c r="BH236" s="69"/>
      <c r="BI236" s="69"/>
      <c r="BJ236" s="69"/>
      <c r="BK236" s="69"/>
      <c r="BL236" s="69"/>
      <c r="BM236" s="69"/>
      <c r="BN236" s="69"/>
      <c r="BO236" s="69"/>
      <c r="BP236" s="69"/>
      <c r="BQ236" s="69"/>
      <c r="BR236" s="8"/>
    </row>
    <row r="237" ht="12.0" customHeight="1">
      <c r="A237" s="69"/>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69"/>
      <c r="AS237" s="69"/>
      <c r="AT237" s="69"/>
      <c r="AU237" s="69"/>
      <c r="AV237" s="69"/>
      <c r="AW237" s="69"/>
      <c r="AX237" s="69"/>
      <c r="AY237" s="69"/>
      <c r="AZ237" s="69"/>
      <c r="BA237" s="69"/>
      <c r="BB237" s="69"/>
      <c r="BC237" s="69"/>
      <c r="BD237" s="69"/>
      <c r="BE237" s="69"/>
      <c r="BF237" s="69"/>
      <c r="BG237" s="69"/>
      <c r="BH237" s="69"/>
      <c r="BI237" s="69"/>
      <c r="BJ237" s="69"/>
      <c r="BK237" s="69"/>
      <c r="BL237" s="69"/>
      <c r="BM237" s="69"/>
      <c r="BN237" s="69"/>
      <c r="BO237" s="69"/>
      <c r="BP237" s="69"/>
      <c r="BQ237" s="69"/>
      <c r="BR237" s="8"/>
    </row>
    <row r="238" ht="12.0" customHeight="1">
      <c r="A238" s="69"/>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69"/>
      <c r="AS238" s="69"/>
      <c r="AT238" s="69"/>
      <c r="AU238" s="69"/>
      <c r="AV238" s="69"/>
      <c r="AW238" s="69"/>
      <c r="AX238" s="69"/>
      <c r="AY238" s="69"/>
      <c r="AZ238" s="69"/>
      <c r="BA238" s="69"/>
      <c r="BB238" s="69"/>
      <c r="BC238" s="69"/>
      <c r="BD238" s="69"/>
      <c r="BE238" s="69"/>
      <c r="BF238" s="69"/>
      <c r="BG238" s="69"/>
      <c r="BH238" s="69"/>
      <c r="BI238" s="69"/>
      <c r="BJ238" s="69"/>
      <c r="BK238" s="69"/>
      <c r="BL238" s="69"/>
      <c r="BM238" s="69"/>
      <c r="BN238" s="69"/>
      <c r="BO238" s="69"/>
      <c r="BP238" s="69"/>
      <c r="BQ238" s="69"/>
      <c r="BR238" s="8"/>
    </row>
    <row r="239" ht="12.0" customHeight="1">
      <c r="A239" s="69"/>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69"/>
      <c r="AS239" s="69"/>
      <c r="AT239" s="69"/>
      <c r="AU239" s="69"/>
      <c r="AV239" s="69"/>
      <c r="AW239" s="69"/>
      <c r="AX239" s="69"/>
      <c r="AY239" s="69"/>
      <c r="AZ239" s="69"/>
      <c r="BA239" s="69"/>
      <c r="BB239" s="69"/>
      <c r="BC239" s="69"/>
      <c r="BD239" s="69"/>
      <c r="BE239" s="69"/>
      <c r="BF239" s="69"/>
      <c r="BG239" s="69"/>
      <c r="BH239" s="69"/>
      <c r="BI239" s="69"/>
      <c r="BJ239" s="69"/>
      <c r="BK239" s="69"/>
      <c r="BL239" s="69"/>
      <c r="BM239" s="69"/>
      <c r="BN239" s="69"/>
      <c r="BO239" s="69"/>
      <c r="BP239" s="69"/>
      <c r="BQ239" s="69"/>
      <c r="BR239" s="8"/>
    </row>
    <row r="240" ht="12.0" customHeight="1">
      <c r="A240" s="69"/>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69"/>
      <c r="AS240" s="69"/>
      <c r="AT240" s="69"/>
      <c r="AU240" s="69"/>
      <c r="AV240" s="69"/>
      <c r="AW240" s="69"/>
      <c r="AX240" s="69"/>
      <c r="AY240" s="69"/>
      <c r="AZ240" s="69"/>
      <c r="BA240" s="69"/>
      <c r="BB240" s="69"/>
      <c r="BC240" s="69"/>
      <c r="BD240" s="69"/>
      <c r="BE240" s="69"/>
      <c r="BF240" s="69"/>
      <c r="BG240" s="69"/>
      <c r="BH240" s="69"/>
      <c r="BI240" s="69"/>
      <c r="BJ240" s="69"/>
      <c r="BK240" s="69"/>
      <c r="BL240" s="69"/>
      <c r="BM240" s="69"/>
      <c r="BN240" s="69"/>
      <c r="BO240" s="69"/>
      <c r="BP240" s="69"/>
      <c r="BQ240" s="69"/>
      <c r="BR240" s="8"/>
    </row>
    <row r="241" ht="12.0" customHeight="1">
      <c r="A241" s="69"/>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69"/>
      <c r="AS241" s="69"/>
      <c r="AT241" s="69"/>
      <c r="AU241" s="69"/>
      <c r="AV241" s="69"/>
      <c r="AW241" s="69"/>
      <c r="AX241" s="69"/>
      <c r="AY241" s="69"/>
      <c r="AZ241" s="69"/>
      <c r="BA241" s="69"/>
      <c r="BB241" s="69"/>
      <c r="BC241" s="69"/>
      <c r="BD241" s="69"/>
      <c r="BE241" s="69"/>
      <c r="BF241" s="69"/>
      <c r="BG241" s="69"/>
      <c r="BH241" s="69"/>
      <c r="BI241" s="69"/>
      <c r="BJ241" s="69"/>
      <c r="BK241" s="69"/>
      <c r="BL241" s="69"/>
      <c r="BM241" s="69"/>
      <c r="BN241" s="69"/>
      <c r="BO241" s="69"/>
      <c r="BP241" s="69"/>
      <c r="BQ241" s="69"/>
      <c r="BR241" s="8"/>
    </row>
    <row r="242" ht="12.0" customHeight="1">
      <c r="A242" s="69"/>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69"/>
      <c r="AS242" s="69"/>
      <c r="AT242" s="69"/>
      <c r="AU242" s="69"/>
      <c r="AV242" s="69"/>
      <c r="AW242" s="69"/>
      <c r="AX242" s="69"/>
      <c r="AY242" s="69"/>
      <c r="AZ242" s="69"/>
      <c r="BA242" s="69"/>
      <c r="BB242" s="69"/>
      <c r="BC242" s="69"/>
      <c r="BD242" s="69"/>
      <c r="BE242" s="69"/>
      <c r="BF242" s="69"/>
      <c r="BG242" s="69"/>
      <c r="BH242" s="69"/>
      <c r="BI242" s="69"/>
      <c r="BJ242" s="69"/>
      <c r="BK242" s="69"/>
      <c r="BL242" s="69"/>
      <c r="BM242" s="69"/>
      <c r="BN242" s="69"/>
      <c r="BO242" s="69"/>
      <c r="BP242" s="69"/>
      <c r="BQ242" s="69"/>
      <c r="BR242" s="8"/>
    </row>
    <row r="243" ht="12.0" customHeight="1">
      <c r="A243" s="69"/>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69"/>
      <c r="AS243" s="69"/>
      <c r="AT243" s="69"/>
      <c r="AU243" s="69"/>
      <c r="AV243" s="69"/>
      <c r="AW243" s="69"/>
      <c r="AX243" s="69"/>
      <c r="AY243" s="69"/>
      <c r="AZ243" s="69"/>
      <c r="BA243" s="69"/>
      <c r="BB243" s="69"/>
      <c r="BC243" s="69"/>
      <c r="BD243" s="69"/>
      <c r="BE243" s="69"/>
      <c r="BF243" s="69"/>
      <c r="BG243" s="69"/>
      <c r="BH243" s="69"/>
      <c r="BI243" s="69"/>
      <c r="BJ243" s="69"/>
      <c r="BK243" s="69"/>
      <c r="BL243" s="69"/>
      <c r="BM243" s="69"/>
      <c r="BN243" s="69"/>
      <c r="BO243" s="69"/>
      <c r="BP243" s="69"/>
      <c r="BQ243" s="69"/>
      <c r="BR243" s="8"/>
    </row>
    <row r="244" ht="12.0" customHeight="1">
      <c r="A244" s="69"/>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69"/>
      <c r="AS244" s="69"/>
      <c r="AT244" s="69"/>
      <c r="AU244" s="69"/>
      <c r="AV244" s="69"/>
      <c r="AW244" s="69"/>
      <c r="AX244" s="69"/>
      <c r="AY244" s="69"/>
      <c r="AZ244" s="69"/>
      <c r="BA244" s="69"/>
      <c r="BB244" s="69"/>
      <c r="BC244" s="69"/>
      <c r="BD244" s="69"/>
      <c r="BE244" s="69"/>
      <c r="BF244" s="69"/>
      <c r="BG244" s="69"/>
      <c r="BH244" s="69"/>
      <c r="BI244" s="69"/>
      <c r="BJ244" s="69"/>
      <c r="BK244" s="69"/>
      <c r="BL244" s="69"/>
      <c r="BM244" s="69"/>
      <c r="BN244" s="69"/>
      <c r="BO244" s="69"/>
      <c r="BP244" s="69"/>
      <c r="BQ244" s="69"/>
      <c r="BR244" s="8"/>
    </row>
    <row r="245" ht="12.0" customHeight="1">
      <c r="A245" s="69"/>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69"/>
      <c r="AS245" s="69"/>
      <c r="AT245" s="69"/>
      <c r="AU245" s="69"/>
      <c r="AV245" s="69"/>
      <c r="AW245" s="69"/>
      <c r="AX245" s="69"/>
      <c r="AY245" s="69"/>
      <c r="AZ245" s="69"/>
      <c r="BA245" s="69"/>
      <c r="BB245" s="69"/>
      <c r="BC245" s="69"/>
      <c r="BD245" s="69"/>
      <c r="BE245" s="69"/>
      <c r="BF245" s="69"/>
      <c r="BG245" s="69"/>
      <c r="BH245" s="69"/>
      <c r="BI245" s="69"/>
      <c r="BJ245" s="69"/>
      <c r="BK245" s="69"/>
      <c r="BL245" s="69"/>
      <c r="BM245" s="69"/>
      <c r="BN245" s="69"/>
      <c r="BO245" s="69"/>
      <c r="BP245" s="69"/>
      <c r="BQ245" s="69"/>
      <c r="BR245" s="8"/>
    </row>
    <row r="246" ht="12.0" customHeight="1">
      <c r="A246" s="69"/>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69"/>
      <c r="AS246" s="69"/>
      <c r="AT246" s="69"/>
      <c r="AU246" s="69"/>
      <c r="AV246" s="69"/>
      <c r="AW246" s="69"/>
      <c r="AX246" s="69"/>
      <c r="AY246" s="69"/>
      <c r="AZ246" s="69"/>
      <c r="BA246" s="69"/>
      <c r="BB246" s="69"/>
      <c r="BC246" s="69"/>
      <c r="BD246" s="69"/>
      <c r="BE246" s="69"/>
      <c r="BF246" s="69"/>
      <c r="BG246" s="69"/>
      <c r="BH246" s="69"/>
      <c r="BI246" s="69"/>
      <c r="BJ246" s="69"/>
      <c r="BK246" s="69"/>
      <c r="BL246" s="69"/>
      <c r="BM246" s="69"/>
      <c r="BN246" s="69"/>
      <c r="BO246" s="69"/>
      <c r="BP246" s="69"/>
      <c r="BQ246" s="69"/>
      <c r="BR246" s="8"/>
    </row>
    <row r="247" ht="12.0" customHeight="1">
      <c r="A247" s="69"/>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69"/>
      <c r="AS247" s="69"/>
      <c r="AT247" s="69"/>
      <c r="AU247" s="69"/>
      <c r="AV247" s="69"/>
      <c r="AW247" s="69"/>
      <c r="AX247" s="69"/>
      <c r="AY247" s="69"/>
      <c r="AZ247" s="69"/>
      <c r="BA247" s="69"/>
      <c r="BB247" s="69"/>
      <c r="BC247" s="69"/>
      <c r="BD247" s="69"/>
      <c r="BE247" s="69"/>
      <c r="BF247" s="69"/>
      <c r="BG247" s="69"/>
      <c r="BH247" s="69"/>
      <c r="BI247" s="69"/>
      <c r="BJ247" s="69"/>
      <c r="BK247" s="69"/>
      <c r="BL247" s="69"/>
      <c r="BM247" s="69"/>
      <c r="BN247" s="69"/>
      <c r="BO247" s="69"/>
      <c r="BP247" s="69"/>
      <c r="BQ247" s="69"/>
      <c r="BR247" s="8"/>
    </row>
    <row r="248" ht="12.0" customHeight="1">
      <c r="A248" s="69"/>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69"/>
      <c r="AS248" s="69"/>
      <c r="AT248" s="69"/>
      <c r="AU248" s="69"/>
      <c r="AV248" s="69"/>
      <c r="AW248" s="69"/>
      <c r="AX248" s="69"/>
      <c r="AY248" s="69"/>
      <c r="AZ248" s="69"/>
      <c r="BA248" s="69"/>
      <c r="BB248" s="69"/>
      <c r="BC248" s="69"/>
      <c r="BD248" s="69"/>
      <c r="BE248" s="69"/>
      <c r="BF248" s="69"/>
      <c r="BG248" s="69"/>
      <c r="BH248" s="69"/>
      <c r="BI248" s="69"/>
      <c r="BJ248" s="69"/>
      <c r="BK248" s="69"/>
      <c r="BL248" s="69"/>
      <c r="BM248" s="69"/>
      <c r="BN248" s="69"/>
      <c r="BO248" s="69"/>
      <c r="BP248" s="69"/>
      <c r="BQ248" s="69"/>
      <c r="BR248" s="8"/>
    </row>
    <row r="249" ht="12.0" customHeight="1">
      <c r="A249" s="69"/>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69"/>
      <c r="AS249" s="69"/>
      <c r="AT249" s="69"/>
      <c r="AU249" s="69"/>
      <c r="AV249" s="69"/>
      <c r="AW249" s="69"/>
      <c r="AX249" s="69"/>
      <c r="AY249" s="69"/>
      <c r="AZ249" s="69"/>
      <c r="BA249" s="69"/>
      <c r="BB249" s="69"/>
      <c r="BC249" s="69"/>
      <c r="BD249" s="69"/>
      <c r="BE249" s="69"/>
      <c r="BF249" s="69"/>
      <c r="BG249" s="69"/>
      <c r="BH249" s="69"/>
      <c r="BI249" s="69"/>
      <c r="BJ249" s="69"/>
      <c r="BK249" s="69"/>
      <c r="BL249" s="69"/>
      <c r="BM249" s="69"/>
      <c r="BN249" s="69"/>
      <c r="BO249" s="69"/>
      <c r="BP249" s="69"/>
      <c r="BQ249" s="69"/>
      <c r="BR249" s="8"/>
    </row>
    <row r="250" ht="12.0" customHeight="1">
      <c r="A250" s="69"/>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69"/>
      <c r="AS250" s="69"/>
      <c r="AT250" s="69"/>
      <c r="AU250" s="69"/>
      <c r="AV250" s="69"/>
      <c r="AW250" s="69"/>
      <c r="AX250" s="69"/>
      <c r="AY250" s="69"/>
      <c r="AZ250" s="69"/>
      <c r="BA250" s="69"/>
      <c r="BB250" s="69"/>
      <c r="BC250" s="69"/>
      <c r="BD250" s="69"/>
      <c r="BE250" s="69"/>
      <c r="BF250" s="69"/>
      <c r="BG250" s="69"/>
      <c r="BH250" s="69"/>
      <c r="BI250" s="69"/>
      <c r="BJ250" s="69"/>
      <c r="BK250" s="69"/>
      <c r="BL250" s="69"/>
      <c r="BM250" s="69"/>
      <c r="BN250" s="69"/>
      <c r="BO250" s="69"/>
      <c r="BP250" s="69"/>
      <c r="BQ250" s="69"/>
      <c r="BR250" s="8"/>
    </row>
    <row r="251" ht="12.0" customHeight="1">
      <c r="A251" s="69"/>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69"/>
      <c r="AS251" s="69"/>
      <c r="AT251" s="69"/>
      <c r="AU251" s="69"/>
      <c r="AV251" s="69"/>
      <c r="AW251" s="69"/>
      <c r="AX251" s="69"/>
      <c r="AY251" s="69"/>
      <c r="AZ251" s="69"/>
      <c r="BA251" s="69"/>
      <c r="BB251" s="69"/>
      <c r="BC251" s="69"/>
      <c r="BD251" s="69"/>
      <c r="BE251" s="69"/>
      <c r="BF251" s="69"/>
      <c r="BG251" s="69"/>
      <c r="BH251" s="69"/>
      <c r="BI251" s="69"/>
      <c r="BJ251" s="69"/>
      <c r="BK251" s="69"/>
      <c r="BL251" s="69"/>
      <c r="BM251" s="69"/>
      <c r="BN251" s="69"/>
      <c r="BO251" s="69"/>
      <c r="BP251" s="69"/>
      <c r="BQ251" s="69"/>
      <c r="BR251" s="8"/>
    </row>
    <row r="252" ht="12.0" customHeight="1">
      <c r="A252" s="69"/>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69"/>
      <c r="AS252" s="69"/>
      <c r="AT252" s="69"/>
      <c r="AU252" s="69"/>
      <c r="AV252" s="69"/>
      <c r="AW252" s="69"/>
      <c r="AX252" s="69"/>
      <c r="AY252" s="69"/>
      <c r="AZ252" s="69"/>
      <c r="BA252" s="69"/>
      <c r="BB252" s="69"/>
      <c r="BC252" s="69"/>
      <c r="BD252" s="69"/>
      <c r="BE252" s="69"/>
      <c r="BF252" s="69"/>
      <c r="BG252" s="69"/>
      <c r="BH252" s="69"/>
      <c r="BI252" s="69"/>
      <c r="BJ252" s="69"/>
      <c r="BK252" s="69"/>
      <c r="BL252" s="69"/>
      <c r="BM252" s="69"/>
      <c r="BN252" s="69"/>
      <c r="BO252" s="69"/>
      <c r="BP252" s="69"/>
      <c r="BQ252" s="69"/>
      <c r="BR252" s="8"/>
    </row>
    <row r="253" ht="12.0" customHeight="1">
      <c r="A253" s="69"/>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69"/>
      <c r="AS253" s="69"/>
      <c r="AT253" s="69"/>
      <c r="AU253" s="69"/>
      <c r="AV253" s="69"/>
      <c r="AW253" s="69"/>
      <c r="AX253" s="69"/>
      <c r="AY253" s="69"/>
      <c r="AZ253" s="69"/>
      <c r="BA253" s="69"/>
      <c r="BB253" s="69"/>
      <c r="BC253" s="69"/>
      <c r="BD253" s="69"/>
      <c r="BE253" s="69"/>
      <c r="BF253" s="69"/>
      <c r="BG253" s="69"/>
      <c r="BH253" s="69"/>
      <c r="BI253" s="69"/>
      <c r="BJ253" s="69"/>
      <c r="BK253" s="69"/>
      <c r="BL253" s="69"/>
      <c r="BM253" s="69"/>
      <c r="BN253" s="69"/>
      <c r="BO253" s="69"/>
      <c r="BP253" s="69"/>
      <c r="BQ253" s="69"/>
      <c r="BR253" s="8"/>
    </row>
    <row r="254" ht="12.0" customHeight="1">
      <c r="A254" s="69"/>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69"/>
      <c r="AS254" s="69"/>
      <c r="AT254" s="69"/>
      <c r="AU254" s="69"/>
      <c r="AV254" s="69"/>
      <c r="AW254" s="69"/>
      <c r="AX254" s="69"/>
      <c r="AY254" s="69"/>
      <c r="AZ254" s="69"/>
      <c r="BA254" s="69"/>
      <c r="BB254" s="69"/>
      <c r="BC254" s="69"/>
      <c r="BD254" s="69"/>
      <c r="BE254" s="69"/>
      <c r="BF254" s="69"/>
      <c r="BG254" s="69"/>
      <c r="BH254" s="69"/>
      <c r="BI254" s="69"/>
      <c r="BJ254" s="69"/>
      <c r="BK254" s="69"/>
      <c r="BL254" s="69"/>
      <c r="BM254" s="69"/>
      <c r="BN254" s="69"/>
      <c r="BO254" s="69"/>
      <c r="BP254" s="69"/>
      <c r="BQ254" s="69"/>
      <c r="BR254" s="8"/>
    </row>
    <row r="255" ht="12.0" customHeight="1">
      <c r="A255" s="69"/>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69"/>
      <c r="AS255" s="69"/>
      <c r="AT255" s="69"/>
      <c r="AU255" s="69"/>
      <c r="AV255" s="69"/>
      <c r="AW255" s="69"/>
      <c r="AX255" s="69"/>
      <c r="AY255" s="69"/>
      <c r="AZ255" s="69"/>
      <c r="BA255" s="69"/>
      <c r="BB255" s="69"/>
      <c r="BC255" s="69"/>
      <c r="BD255" s="69"/>
      <c r="BE255" s="69"/>
      <c r="BF255" s="69"/>
      <c r="BG255" s="69"/>
      <c r="BH255" s="69"/>
      <c r="BI255" s="69"/>
      <c r="BJ255" s="69"/>
      <c r="BK255" s="69"/>
      <c r="BL255" s="69"/>
      <c r="BM255" s="69"/>
      <c r="BN255" s="69"/>
      <c r="BO255" s="69"/>
      <c r="BP255" s="69"/>
      <c r="BQ255" s="69"/>
      <c r="BR255" s="8"/>
    </row>
    <row r="256" ht="12.0" customHeight="1">
      <c r="A256" s="69"/>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69"/>
      <c r="AS256" s="69"/>
      <c r="AT256" s="69"/>
      <c r="AU256" s="69"/>
      <c r="AV256" s="69"/>
      <c r="AW256" s="69"/>
      <c r="AX256" s="69"/>
      <c r="AY256" s="69"/>
      <c r="AZ256" s="69"/>
      <c r="BA256" s="69"/>
      <c r="BB256" s="69"/>
      <c r="BC256" s="69"/>
      <c r="BD256" s="69"/>
      <c r="BE256" s="69"/>
      <c r="BF256" s="69"/>
      <c r="BG256" s="69"/>
      <c r="BH256" s="69"/>
      <c r="BI256" s="69"/>
      <c r="BJ256" s="69"/>
      <c r="BK256" s="69"/>
      <c r="BL256" s="69"/>
      <c r="BM256" s="69"/>
      <c r="BN256" s="69"/>
      <c r="BO256" s="69"/>
      <c r="BP256" s="69"/>
      <c r="BQ256" s="69"/>
      <c r="BR256" s="8"/>
    </row>
    <row r="257" ht="12.0" customHeight="1">
      <c r="A257" s="69"/>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69"/>
      <c r="AS257" s="69"/>
      <c r="AT257" s="69"/>
      <c r="AU257" s="69"/>
      <c r="AV257" s="69"/>
      <c r="AW257" s="69"/>
      <c r="AX257" s="69"/>
      <c r="AY257" s="69"/>
      <c r="AZ257" s="69"/>
      <c r="BA257" s="69"/>
      <c r="BB257" s="69"/>
      <c r="BC257" s="69"/>
      <c r="BD257" s="69"/>
      <c r="BE257" s="69"/>
      <c r="BF257" s="69"/>
      <c r="BG257" s="69"/>
      <c r="BH257" s="69"/>
      <c r="BI257" s="69"/>
      <c r="BJ257" s="69"/>
      <c r="BK257" s="69"/>
      <c r="BL257" s="69"/>
      <c r="BM257" s="69"/>
      <c r="BN257" s="69"/>
      <c r="BO257" s="69"/>
      <c r="BP257" s="69"/>
      <c r="BQ257" s="69"/>
      <c r="BR257" s="8"/>
    </row>
    <row r="258" ht="12.0" customHeight="1">
      <c r="A258" s="69"/>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69"/>
      <c r="AS258" s="69"/>
      <c r="AT258" s="69"/>
      <c r="AU258" s="69"/>
      <c r="AV258" s="69"/>
      <c r="AW258" s="69"/>
      <c r="AX258" s="69"/>
      <c r="AY258" s="69"/>
      <c r="AZ258" s="69"/>
      <c r="BA258" s="69"/>
      <c r="BB258" s="69"/>
      <c r="BC258" s="69"/>
      <c r="BD258" s="69"/>
      <c r="BE258" s="69"/>
      <c r="BF258" s="69"/>
      <c r="BG258" s="69"/>
      <c r="BH258" s="69"/>
      <c r="BI258" s="69"/>
      <c r="BJ258" s="69"/>
      <c r="BK258" s="69"/>
      <c r="BL258" s="69"/>
      <c r="BM258" s="69"/>
      <c r="BN258" s="69"/>
      <c r="BO258" s="69"/>
      <c r="BP258" s="69"/>
      <c r="BQ258" s="69"/>
      <c r="BR258" s="8"/>
    </row>
    <row r="259" ht="12.0" customHeight="1">
      <c r="A259" s="69"/>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69"/>
      <c r="AS259" s="69"/>
      <c r="AT259" s="69"/>
      <c r="AU259" s="69"/>
      <c r="AV259" s="69"/>
      <c r="AW259" s="69"/>
      <c r="AX259" s="69"/>
      <c r="AY259" s="69"/>
      <c r="AZ259" s="69"/>
      <c r="BA259" s="69"/>
      <c r="BB259" s="69"/>
      <c r="BC259" s="69"/>
      <c r="BD259" s="69"/>
      <c r="BE259" s="69"/>
      <c r="BF259" s="69"/>
      <c r="BG259" s="69"/>
      <c r="BH259" s="69"/>
      <c r="BI259" s="69"/>
      <c r="BJ259" s="69"/>
      <c r="BK259" s="69"/>
      <c r="BL259" s="69"/>
      <c r="BM259" s="69"/>
      <c r="BN259" s="69"/>
      <c r="BO259" s="69"/>
      <c r="BP259" s="69"/>
      <c r="BQ259" s="69"/>
      <c r="BR259" s="8"/>
    </row>
    <row r="260" ht="12.0" customHeight="1">
      <c r="A260" s="69"/>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69"/>
      <c r="AS260" s="69"/>
      <c r="AT260" s="69"/>
      <c r="AU260" s="69"/>
      <c r="AV260" s="69"/>
      <c r="AW260" s="69"/>
      <c r="AX260" s="69"/>
      <c r="AY260" s="69"/>
      <c r="AZ260" s="69"/>
      <c r="BA260" s="69"/>
      <c r="BB260" s="69"/>
      <c r="BC260" s="69"/>
      <c r="BD260" s="69"/>
      <c r="BE260" s="69"/>
      <c r="BF260" s="69"/>
      <c r="BG260" s="69"/>
      <c r="BH260" s="69"/>
      <c r="BI260" s="69"/>
      <c r="BJ260" s="69"/>
      <c r="BK260" s="69"/>
      <c r="BL260" s="69"/>
      <c r="BM260" s="69"/>
      <c r="BN260" s="69"/>
      <c r="BO260" s="69"/>
      <c r="BP260" s="69"/>
      <c r="BQ260" s="69"/>
      <c r="BR260" s="8"/>
    </row>
    <row r="261" ht="12.0" customHeight="1">
      <c r="A261" s="69"/>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69"/>
      <c r="AS261" s="69"/>
      <c r="AT261" s="69"/>
      <c r="AU261" s="69"/>
      <c r="AV261" s="69"/>
      <c r="AW261" s="69"/>
      <c r="AX261" s="69"/>
      <c r="AY261" s="69"/>
      <c r="AZ261" s="69"/>
      <c r="BA261" s="69"/>
      <c r="BB261" s="69"/>
      <c r="BC261" s="69"/>
      <c r="BD261" s="69"/>
      <c r="BE261" s="69"/>
      <c r="BF261" s="69"/>
      <c r="BG261" s="69"/>
      <c r="BH261" s="69"/>
      <c r="BI261" s="69"/>
      <c r="BJ261" s="69"/>
      <c r="BK261" s="69"/>
      <c r="BL261" s="69"/>
      <c r="BM261" s="69"/>
      <c r="BN261" s="69"/>
      <c r="BO261" s="69"/>
      <c r="BP261" s="69"/>
      <c r="BQ261" s="69"/>
      <c r="BR261" s="8"/>
    </row>
    <row r="262" ht="12.0" customHeight="1">
      <c r="A262" s="69"/>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69"/>
      <c r="AS262" s="69"/>
      <c r="AT262" s="69"/>
      <c r="AU262" s="69"/>
      <c r="AV262" s="69"/>
      <c r="AW262" s="69"/>
      <c r="AX262" s="69"/>
      <c r="AY262" s="69"/>
      <c r="AZ262" s="69"/>
      <c r="BA262" s="69"/>
      <c r="BB262" s="69"/>
      <c r="BC262" s="69"/>
      <c r="BD262" s="69"/>
      <c r="BE262" s="69"/>
      <c r="BF262" s="69"/>
      <c r="BG262" s="69"/>
      <c r="BH262" s="69"/>
      <c r="BI262" s="69"/>
      <c r="BJ262" s="69"/>
      <c r="BK262" s="69"/>
      <c r="BL262" s="69"/>
      <c r="BM262" s="69"/>
      <c r="BN262" s="69"/>
      <c r="BO262" s="69"/>
      <c r="BP262" s="69"/>
      <c r="BQ262" s="69"/>
      <c r="BR262" s="8"/>
    </row>
    <row r="263" ht="12.0" customHeight="1">
      <c r="A263" s="69"/>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69"/>
      <c r="AS263" s="69"/>
      <c r="AT263" s="69"/>
      <c r="AU263" s="69"/>
      <c r="AV263" s="69"/>
      <c r="AW263" s="69"/>
      <c r="AX263" s="69"/>
      <c r="AY263" s="69"/>
      <c r="AZ263" s="69"/>
      <c r="BA263" s="69"/>
      <c r="BB263" s="69"/>
      <c r="BC263" s="69"/>
      <c r="BD263" s="69"/>
      <c r="BE263" s="69"/>
      <c r="BF263" s="69"/>
      <c r="BG263" s="69"/>
      <c r="BH263" s="69"/>
      <c r="BI263" s="69"/>
      <c r="BJ263" s="69"/>
      <c r="BK263" s="69"/>
      <c r="BL263" s="69"/>
      <c r="BM263" s="69"/>
      <c r="BN263" s="69"/>
      <c r="BO263" s="69"/>
      <c r="BP263" s="69"/>
      <c r="BQ263" s="69"/>
      <c r="BR263" s="8"/>
    </row>
    <row r="264" ht="12.0" customHeight="1">
      <c r="A264" s="69"/>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69"/>
      <c r="AS264" s="69"/>
      <c r="AT264" s="69"/>
      <c r="AU264" s="69"/>
      <c r="AV264" s="69"/>
      <c r="AW264" s="69"/>
      <c r="AX264" s="69"/>
      <c r="AY264" s="69"/>
      <c r="AZ264" s="69"/>
      <c r="BA264" s="69"/>
      <c r="BB264" s="69"/>
      <c r="BC264" s="69"/>
      <c r="BD264" s="69"/>
      <c r="BE264" s="69"/>
      <c r="BF264" s="69"/>
      <c r="BG264" s="69"/>
      <c r="BH264" s="69"/>
      <c r="BI264" s="69"/>
      <c r="BJ264" s="69"/>
      <c r="BK264" s="69"/>
      <c r="BL264" s="69"/>
      <c r="BM264" s="69"/>
      <c r="BN264" s="69"/>
      <c r="BO264" s="69"/>
      <c r="BP264" s="69"/>
      <c r="BQ264" s="69"/>
      <c r="BR264" s="8"/>
    </row>
    <row r="265" ht="12.0" customHeight="1">
      <c r="A265" s="69"/>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69"/>
      <c r="AS265" s="69"/>
      <c r="AT265" s="69"/>
      <c r="AU265" s="69"/>
      <c r="AV265" s="69"/>
      <c r="AW265" s="69"/>
      <c r="AX265" s="69"/>
      <c r="AY265" s="69"/>
      <c r="AZ265" s="69"/>
      <c r="BA265" s="69"/>
      <c r="BB265" s="69"/>
      <c r="BC265" s="69"/>
      <c r="BD265" s="69"/>
      <c r="BE265" s="69"/>
      <c r="BF265" s="69"/>
      <c r="BG265" s="69"/>
      <c r="BH265" s="69"/>
      <c r="BI265" s="69"/>
      <c r="BJ265" s="69"/>
      <c r="BK265" s="69"/>
      <c r="BL265" s="69"/>
      <c r="BM265" s="69"/>
      <c r="BN265" s="69"/>
      <c r="BO265" s="69"/>
      <c r="BP265" s="69"/>
      <c r="BQ265" s="69"/>
      <c r="BR265" s="8"/>
    </row>
    <row r="266" ht="12.0" customHeight="1">
      <c r="A266" s="69"/>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69"/>
      <c r="AS266" s="69"/>
      <c r="AT266" s="69"/>
      <c r="AU266" s="69"/>
      <c r="AV266" s="69"/>
      <c r="AW266" s="69"/>
      <c r="AX266" s="69"/>
      <c r="AY266" s="69"/>
      <c r="AZ266" s="69"/>
      <c r="BA266" s="69"/>
      <c r="BB266" s="69"/>
      <c r="BC266" s="69"/>
      <c r="BD266" s="69"/>
      <c r="BE266" s="69"/>
      <c r="BF266" s="69"/>
      <c r="BG266" s="69"/>
      <c r="BH266" s="69"/>
      <c r="BI266" s="69"/>
      <c r="BJ266" s="69"/>
      <c r="BK266" s="69"/>
      <c r="BL266" s="69"/>
      <c r="BM266" s="69"/>
      <c r="BN266" s="69"/>
      <c r="BO266" s="69"/>
      <c r="BP266" s="69"/>
      <c r="BQ266" s="69"/>
      <c r="BR266" s="8"/>
    </row>
    <row r="267" ht="12.0" customHeight="1">
      <c r="A267" s="69"/>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69"/>
      <c r="AS267" s="69"/>
      <c r="AT267" s="69"/>
      <c r="AU267" s="69"/>
      <c r="AV267" s="69"/>
      <c r="AW267" s="69"/>
      <c r="AX267" s="69"/>
      <c r="AY267" s="69"/>
      <c r="AZ267" s="69"/>
      <c r="BA267" s="69"/>
      <c r="BB267" s="69"/>
      <c r="BC267" s="69"/>
      <c r="BD267" s="69"/>
      <c r="BE267" s="69"/>
      <c r="BF267" s="69"/>
      <c r="BG267" s="69"/>
      <c r="BH267" s="69"/>
      <c r="BI267" s="69"/>
      <c r="BJ267" s="69"/>
      <c r="BK267" s="69"/>
      <c r="BL267" s="69"/>
      <c r="BM267" s="69"/>
      <c r="BN267" s="69"/>
      <c r="BO267" s="69"/>
      <c r="BP267" s="69"/>
      <c r="BQ267" s="69"/>
      <c r="BR267" s="8"/>
    </row>
    <row r="268" ht="12.0" customHeight="1">
      <c r="A268" s="69"/>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69"/>
      <c r="AS268" s="69"/>
      <c r="AT268" s="69"/>
      <c r="AU268" s="69"/>
      <c r="AV268" s="69"/>
      <c r="AW268" s="69"/>
      <c r="AX268" s="69"/>
      <c r="AY268" s="69"/>
      <c r="AZ268" s="69"/>
      <c r="BA268" s="69"/>
      <c r="BB268" s="69"/>
      <c r="BC268" s="69"/>
      <c r="BD268" s="69"/>
      <c r="BE268" s="69"/>
      <c r="BF268" s="69"/>
      <c r="BG268" s="69"/>
      <c r="BH268" s="69"/>
      <c r="BI268" s="69"/>
      <c r="BJ268" s="69"/>
      <c r="BK268" s="69"/>
      <c r="BL268" s="69"/>
      <c r="BM268" s="69"/>
      <c r="BN268" s="69"/>
      <c r="BO268" s="69"/>
      <c r="BP268" s="69"/>
      <c r="BQ268" s="69"/>
      <c r="BR268" s="8"/>
    </row>
    <row r="269" ht="12.0" customHeight="1">
      <c r="A269" s="69"/>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69"/>
      <c r="AS269" s="69"/>
      <c r="AT269" s="69"/>
      <c r="AU269" s="69"/>
      <c r="AV269" s="69"/>
      <c r="AW269" s="69"/>
      <c r="AX269" s="69"/>
      <c r="AY269" s="69"/>
      <c r="AZ269" s="69"/>
      <c r="BA269" s="69"/>
      <c r="BB269" s="69"/>
      <c r="BC269" s="69"/>
      <c r="BD269" s="69"/>
      <c r="BE269" s="69"/>
      <c r="BF269" s="69"/>
      <c r="BG269" s="69"/>
      <c r="BH269" s="69"/>
      <c r="BI269" s="69"/>
      <c r="BJ269" s="69"/>
      <c r="BK269" s="69"/>
      <c r="BL269" s="69"/>
      <c r="BM269" s="69"/>
      <c r="BN269" s="69"/>
      <c r="BO269" s="69"/>
      <c r="BP269" s="69"/>
      <c r="BQ269" s="69"/>
      <c r="BR269" s="8"/>
    </row>
    <row r="270" ht="12.0" customHeight="1">
      <c r="A270" s="69"/>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69"/>
      <c r="AS270" s="69"/>
      <c r="AT270" s="69"/>
      <c r="AU270" s="69"/>
      <c r="AV270" s="69"/>
      <c r="AW270" s="69"/>
      <c r="AX270" s="69"/>
      <c r="AY270" s="69"/>
      <c r="AZ270" s="69"/>
      <c r="BA270" s="69"/>
      <c r="BB270" s="69"/>
      <c r="BC270" s="69"/>
      <c r="BD270" s="69"/>
      <c r="BE270" s="69"/>
      <c r="BF270" s="69"/>
      <c r="BG270" s="69"/>
      <c r="BH270" s="69"/>
      <c r="BI270" s="69"/>
      <c r="BJ270" s="69"/>
      <c r="BK270" s="69"/>
      <c r="BL270" s="69"/>
      <c r="BM270" s="69"/>
      <c r="BN270" s="69"/>
      <c r="BO270" s="69"/>
      <c r="BP270" s="69"/>
      <c r="BQ270" s="69"/>
      <c r="BR270" s="8"/>
    </row>
    <row r="271" ht="12.0" customHeight="1">
      <c r="A271" s="69"/>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69"/>
      <c r="AS271" s="69"/>
      <c r="AT271" s="69"/>
      <c r="AU271" s="69"/>
      <c r="AV271" s="69"/>
      <c r="AW271" s="69"/>
      <c r="AX271" s="69"/>
      <c r="AY271" s="69"/>
      <c r="AZ271" s="69"/>
      <c r="BA271" s="69"/>
      <c r="BB271" s="69"/>
      <c r="BC271" s="69"/>
      <c r="BD271" s="69"/>
      <c r="BE271" s="69"/>
      <c r="BF271" s="69"/>
      <c r="BG271" s="69"/>
      <c r="BH271" s="69"/>
      <c r="BI271" s="69"/>
      <c r="BJ271" s="69"/>
      <c r="BK271" s="69"/>
      <c r="BL271" s="69"/>
      <c r="BM271" s="69"/>
      <c r="BN271" s="69"/>
      <c r="BO271" s="69"/>
      <c r="BP271" s="69"/>
      <c r="BQ271" s="69"/>
      <c r="BR271" s="8"/>
    </row>
    <row r="272" ht="12.0" customHeight="1">
      <c r="A272" s="69"/>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69"/>
      <c r="AS272" s="69"/>
      <c r="AT272" s="69"/>
      <c r="AU272" s="69"/>
      <c r="AV272" s="69"/>
      <c r="AW272" s="69"/>
      <c r="AX272" s="69"/>
      <c r="AY272" s="69"/>
      <c r="AZ272" s="69"/>
      <c r="BA272" s="69"/>
      <c r="BB272" s="69"/>
      <c r="BC272" s="69"/>
      <c r="BD272" s="69"/>
      <c r="BE272" s="69"/>
      <c r="BF272" s="69"/>
      <c r="BG272" s="69"/>
      <c r="BH272" s="69"/>
      <c r="BI272" s="69"/>
      <c r="BJ272" s="69"/>
      <c r="BK272" s="69"/>
      <c r="BL272" s="69"/>
      <c r="BM272" s="69"/>
      <c r="BN272" s="69"/>
      <c r="BO272" s="69"/>
      <c r="BP272" s="69"/>
      <c r="BQ272" s="69"/>
      <c r="BR272" s="8"/>
    </row>
    <row r="273" ht="12.0" customHeight="1">
      <c r="A273" s="69"/>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69"/>
      <c r="AS273" s="69"/>
      <c r="AT273" s="69"/>
      <c r="AU273" s="69"/>
      <c r="AV273" s="69"/>
      <c r="AW273" s="69"/>
      <c r="AX273" s="69"/>
      <c r="AY273" s="69"/>
      <c r="AZ273" s="69"/>
      <c r="BA273" s="69"/>
      <c r="BB273" s="69"/>
      <c r="BC273" s="69"/>
      <c r="BD273" s="69"/>
      <c r="BE273" s="69"/>
      <c r="BF273" s="69"/>
      <c r="BG273" s="69"/>
      <c r="BH273" s="69"/>
      <c r="BI273" s="69"/>
      <c r="BJ273" s="69"/>
      <c r="BK273" s="69"/>
      <c r="BL273" s="69"/>
      <c r="BM273" s="69"/>
      <c r="BN273" s="69"/>
      <c r="BO273" s="69"/>
      <c r="BP273" s="69"/>
      <c r="BQ273" s="69"/>
      <c r="BR273" s="8"/>
    </row>
    <row r="274" ht="12.0" customHeight="1">
      <c r="A274" s="69"/>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69"/>
      <c r="AS274" s="69"/>
      <c r="AT274" s="69"/>
      <c r="AU274" s="69"/>
      <c r="AV274" s="69"/>
      <c r="AW274" s="69"/>
      <c r="AX274" s="69"/>
      <c r="AY274" s="69"/>
      <c r="AZ274" s="69"/>
      <c r="BA274" s="69"/>
      <c r="BB274" s="69"/>
      <c r="BC274" s="69"/>
      <c r="BD274" s="69"/>
      <c r="BE274" s="69"/>
      <c r="BF274" s="69"/>
      <c r="BG274" s="69"/>
      <c r="BH274" s="69"/>
      <c r="BI274" s="69"/>
      <c r="BJ274" s="69"/>
      <c r="BK274" s="69"/>
      <c r="BL274" s="69"/>
      <c r="BM274" s="69"/>
      <c r="BN274" s="69"/>
      <c r="BO274" s="69"/>
      <c r="BP274" s="69"/>
      <c r="BQ274" s="69"/>
      <c r="BR274" s="8"/>
    </row>
    <row r="275" ht="12.0" customHeight="1">
      <c r="A275" s="69"/>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69"/>
      <c r="AS275" s="69"/>
      <c r="AT275" s="69"/>
      <c r="AU275" s="69"/>
      <c r="AV275" s="69"/>
      <c r="AW275" s="69"/>
      <c r="AX275" s="69"/>
      <c r="AY275" s="69"/>
      <c r="AZ275" s="69"/>
      <c r="BA275" s="69"/>
      <c r="BB275" s="69"/>
      <c r="BC275" s="69"/>
      <c r="BD275" s="69"/>
      <c r="BE275" s="69"/>
      <c r="BF275" s="69"/>
      <c r="BG275" s="69"/>
      <c r="BH275" s="69"/>
      <c r="BI275" s="69"/>
      <c r="BJ275" s="69"/>
      <c r="BK275" s="69"/>
      <c r="BL275" s="69"/>
      <c r="BM275" s="69"/>
      <c r="BN275" s="69"/>
      <c r="BO275" s="69"/>
      <c r="BP275" s="69"/>
      <c r="BQ275" s="69"/>
      <c r="BR275" s="8"/>
    </row>
    <row r="276" ht="12.0" customHeight="1">
      <c r="A276" s="69"/>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69"/>
      <c r="AS276" s="69"/>
      <c r="AT276" s="69"/>
      <c r="AU276" s="69"/>
      <c r="AV276" s="69"/>
      <c r="AW276" s="69"/>
      <c r="AX276" s="69"/>
      <c r="AY276" s="69"/>
      <c r="AZ276" s="69"/>
      <c r="BA276" s="69"/>
      <c r="BB276" s="69"/>
      <c r="BC276" s="69"/>
      <c r="BD276" s="69"/>
      <c r="BE276" s="69"/>
      <c r="BF276" s="69"/>
      <c r="BG276" s="69"/>
      <c r="BH276" s="69"/>
      <c r="BI276" s="69"/>
      <c r="BJ276" s="69"/>
      <c r="BK276" s="69"/>
      <c r="BL276" s="69"/>
      <c r="BM276" s="69"/>
      <c r="BN276" s="69"/>
      <c r="BO276" s="69"/>
      <c r="BP276" s="69"/>
      <c r="BQ276" s="69"/>
      <c r="BR276" s="8"/>
    </row>
    <row r="277" ht="12.0" customHeight="1">
      <c r="A277" s="69"/>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69"/>
      <c r="AS277" s="69"/>
      <c r="AT277" s="69"/>
      <c r="AU277" s="69"/>
      <c r="AV277" s="69"/>
      <c r="AW277" s="69"/>
      <c r="AX277" s="69"/>
      <c r="AY277" s="69"/>
      <c r="AZ277" s="69"/>
      <c r="BA277" s="69"/>
      <c r="BB277" s="69"/>
      <c r="BC277" s="69"/>
      <c r="BD277" s="69"/>
      <c r="BE277" s="69"/>
      <c r="BF277" s="69"/>
      <c r="BG277" s="69"/>
      <c r="BH277" s="69"/>
      <c r="BI277" s="69"/>
      <c r="BJ277" s="69"/>
      <c r="BK277" s="69"/>
      <c r="BL277" s="69"/>
      <c r="BM277" s="69"/>
      <c r="BN277" s="69"/>
      <c r="BO277" s="69"/>
      <c r="BP277" s="69"/>
      <c r="BQ277" s="69"/>
      <c r="BR277" s="8"/>
    </row>
    <row r="278" ht="12.0" customHeight="1">
      <c r="A278" s="69"/>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69"/>
      <c r="AS278" s="69"/>
      <c r="AT278" s="69"/>
      <c r="AU278" s="69"/>
      <c r="AV278" s="69"/>
      <c r="AW278" s="69"/>
      <c r="AX278" s="69"/>
      <c r="AY278" s="69"/>
      <c r="AZ278" s="69"/>
      <c r="BA278" s="69"/>
      <c r="BB278" s="69"/>
      <c r="BC278" s="69"/>
      <c r="BD278" s="69"/>
      <c r="BE278" s="69"/>
      <c r="BF278" s="69"/>
      <c r="BG278" s="69"/>
      <c r="BH278" s="69"/>
      <c r="BI278" s="69"/>
      <c r="BJ278" s="69"/>
      <c r="BK278" s="69"/>
      <c r="BL278" s="69"/>
      <c r="BM278" s="69"/>
      <c r="BN278" s="69"/>
      <c r="BO278" s="69"/>
      <c r="BP278" s="69"/>
      <c r="BQ278" s="69"/>
      <c r="BR278" s="8"/>
    </row>
    <row r="279" ht="12.0" customHeight="1">
      <c r="A279" s="69"/>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69"/>
      <c r="AS279" s="69"/>
      <c r="AT279" s="69"/>
      <c r="AU279" s="69"/>
      <c r="AV279" s="69"/>
      <c r="AW279" s="69"/>
      <c r="AX279" s="69"/>
      <c r="AY279" s="69"/>
      <c r="AZ279" s="69"/>
      <c r="BA279" s="69"/>
      <c r="BB279" s="69"/>
      <c r="BC279" s="69"/>
      <c r="BD279" s="69"/>
      <c r="BE279" s="69"/>
      <c r="BF279" s="69"/>
      <c r="BG279" s="69"/>
      <c r="BH279" s="69"/>
      <c r="BI279" s="69"/>
      <c r="BJ279" s="69"/>
      <c r="BK279" s="69"/>
      <c r="BL279" s="69"/>
      <c r="BM279" s="69"/>
      <c r="BN279" s="69"/>
      <c r="BO279" s="69"/>
      <c r="BP279" s="69"/>
      <c r="BQ279" s="69"/>
      <c r="BR279" s="8"/>
    </row>
    <row r="280" ht="12.0" customHeight="1">
      <c r="A280" s="69"/>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69"/>
      <c r="AS280" s="69"/>
      <c r="AT280" s="69"/>
      <c r="AU280" s="69"/>
      <c r="AV280" s="69"/>
      <c r="AW280" s="69"/>
      <c r="AX280" s="69"/>
      <c r="AY280" s="69"/>
      <c r="AZ280" s="69"/>
      <c r="BA280" s="69"/>
      <c r="BB280" s="69"/>
      <c r="BC280" s="69"/>
      <c r="BD280" s="69"/>
      <c r="BE280" s="69"/>
      <c r="BF280" s="69"/>
      <c r="BG280" s="69"/>
      <c r="BH280" s="69"/>
      <c r="BI280" s="69"/>
      <c r="BJ280" s="69"/>
      <c r="BK280" s="69"/>
      <c r="BL280" s="69"/>
      <c r="BM280" s="69"/>
      <c r="BN280" s="69"/>
      <c r="BO280" s="69"/>
      <c r="BP280" s="69"/>
      <c r="BQ280" s="69"/>
      <c r="BR280" s="8"/>
    </row>
    <row r="281" ht="12.0" customHeight="1">
      <c r="A281" s="69"/>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69"/>
      <c r="AS281" s="69"/>
      <c r="AT281" s="69"/>
      <c r="AU281" s="69"/>
      <c r="AV281" s="69"/>
      <c r="AW281" s="69"/>
      <c r="AX281" s="69"/>
      <c r="AY281" s="69"/>
      <c r="AZ281" s="69"/>
      <c r="BA281" s="69"/>
      <c r="BB281" s="69"/>
      <c r="BC281" s="69"/>
      <c r="BD281" s="69"/>
      <c r="BE281" s="69"/>
      <c r="BF281" s="69"/>
      <c r="BG281" s="69"/>
      <c r="BH281" s="69"/>
      <c r="BI281" s="69"/>
      <c r="BJ281" s="69"/>
      <c r="BK281" s="69"/>
      <c r="BL281" s="69"/>
      <c r="BM281" s="69"/>
      <c r="BN281" s="69"/>
      <c r="BO281" s="69"/>
      <c r="BP281" s="69"/>
      <c r="BQ281" s="69"/>
      <c r="BR281" s="8"/>
    </row>
    <row r="282" ht="12.0" customHeight="1">
      <c r="A282" s="69"/>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69"/>
      <c r="AS282" s="69"/>
      <c r="AT282" s="69"/>
      <c r="AU282" s="69"/>
      <c r="AV282" s="69"/>
      <c r="AW282" s="69"/>
      <c r="AX282" s="69"/>
      <c r="AY282" s="69"/>
      <c r="AZ282" s="69"/>
      <c r="BA282" s="69"/>
      <c r="BB282" s="69"/>
      <c r="BC282" s="69"/>
      <c r="BD282" s="69"/>
      <c r="BE282" s="69"/>
      <c r="BF282" s="69"/>
      <c r="BG282" s="69"/>
      <c r="BH282" s="69"/>
      <c r="BI282" s="69"/>
      <c r="BJ282" s="69"/>
      <c r="BK282" s="69"/>
      <c r="BL282" s="69"/>
      <c r="BM282" s="69"/>
      <c r="BN282" s="69"/>
      <c r="BO282" s="69"/>
      <c r="BP282" s="69"/>
      <c r="BQ282" s="69"/>
      <c r="BR282" s="8"/>
    </row>
    <row r="283" ht="12.0" customHeight="1">
      <c r="A283" s="69"/>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69"/>
      <c r="AS283" s="69"/>
      <c r="AT283" s="69"/>
      <c r="AU283" s="69"/>
      <c r="AV283" s="69"/>
      <c r="AW283" s="69"/>
      <c r="AX283" s="69"/>
      <c r="AY283" s="69"/>
      <c r="AZ283" s="69"/>
      <c r="BA283" s="69"/>
      <c r="BB283" s="69"/>
      <c r="BC283" s="69"/>
      <c r="BD283" s="69"/>
      <c r="BE283" s="69"/>
      <c r="BF283" s="69"/>
      <c r="BG283" s="69"/>
      <c r="BH283" s="69"/>
      <c r="BI283" s="69"/>
      <c r="BJ283" s="69"/>
      <c r="BK283" s="69"/>
      <c r="BL283" s="69"/>
      <c r="BM283" s="69"/>
      <c r="BN283" s="69"/>
      <c r="BO283" s="69"/>
      <c r="BP283" s="69"/>
      <c r="BQ283" s="69"/>
      <c r="BR283" s="8"/>
    </row>
    <row r="284" ht="12.0" customHeight="1">
      <c r="A284" s="69"/>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69"/>
      <c r="AS284" s="69"/>
      <c r="AT284" s="69"/>
      <c r="AU284" s="69"/>
      <c r="AV284" s="69"/>
      <c r="AW284" s="69"/>
      <c r="AX284" s="69"/>
      <c r="AY284" s="69"/>
      <c r="AZ284" s="69"/>
      <c r="BA284" s="69"/>
      <c r="BB284" s="69"/>
      <c r="BC284" s="69"/>
      <c r="BD284" s="69"/>
      <c r="BE284" s="69"/>
      <c r="BF284" s="69"/>
      <c r="BG284" s="69"/>
      <c r="BH284" s="69"/>
      <c r="BI284" s="69"/>
      <c r="BJ284" s="69"/>
      <c r="BK284" s="69"/>
      <c r="BL284" s="69"/>
      <c r="BM284" s="69"/>
      <c r="BN284" s="69"/>
      <c r="BO284" s="69"/>
      <c r="BP284" s="69"/>
      <c r="BQ284" s="69"/>
      <c r="BR284" s="8"/>
    </row>
    <row r="285" ht="12.0" customHeight="1">
      <c r="A285" s="69"/>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69"/>
      <c r="AS285" s="69"/>
      <c r="AT285" s="69"/>
      <c r="AU285" s="69"/>
      <c r="AV285" s="69"/>
      <c r="AW285" s="69"/>
      <c r="AX285" s="69"/>
      <c r="AY285" s="69"/>
      <c r="AZ285" s="69"/>
      <c r="BA285" s="69"/>
      <c r="BB285" s="69"/>
      <c r="BC285" s="69"/>
      <c r="BD285" s="69"/>
      <c r="BE285" s="69"/>
      <c r="BF285" s="69"/>
      <c r="BG285" s="69"/>
      <c r="BH285" s="69"/>
      <c r="BI285" s="69"/>
      <c r="BJ285" s="69"/>
      <c r="BK285" s="69"/>
      <c r="BL285" s="69"/>
      <c r="BM285" s="69"/>
      <c r="BN285" s="69"/>
      <c r="BO285" s="69"/>
      <c r="BP285" s="69"/>
      <c r="BQ285" s="69"/>
      <c r="BR285" s="8"/>
    </row>
    <row r="286" ht="12.0" customHeight="1">
      <c r="A286" s="69"/>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69"/>
      <c r="AS286" s="69"/>
      <c r="AT286" s="69"/>
      <c r="AU286" s="69"/>
      <c r="AV286" s="69"/>
      <c r="AW286" s="69"/>
      <c r="AX286" s="69"/>
      <c r="AY286" s="69"/>
      <c r="AZ286" s="69"/>
      <c r="BA286" s="69"/>
      <c r="BB286" s="69"/>
      <c r="BC286" s="69"/>
      <c r="BD286" s="69"/>
      <c r="BE286" s="69"/>
      <c r="BF286" s="69"/>
      <c r="BG286" s="69"/>
      <c r="BH286" s="69"/>
      <c r="BI286" s="69"/>
      <c r="BJ286" s="69"/>
      <c r="BK286" s="69"/>
      <c r="BL286" s="69"/>
      <c r="BM286" s="69"/>
      <c r="BN286" s="69"/>
      <c r="BO286" s="69"/>
      <c r="BP286" s="69"/>
      <c r="BQ286" s="69"/>
      <c r="BR286" s="8"/>
    </row>
    <row r="287" ht="12.0" customHeight="1">
      <c r="A287" s="69"/>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69"/>
      <c r="AS287" s="69"/>
      <c r="AT287" s="69"/>
      <c r="AU287" s="69"/>
      <c r="AV287" s="69"/>
      <c r="AW287" s="69"/>
      <c r="AX287" s="69"/>
      <c r="AY287" s="69"/>
      <c r="AZ287" s="69"/>
      <c r="BA287" s="69"/>
      <c r="BB287" s="69"/>
      <c r="BC287" s="69"/>
      <c r="BD287" s="69"/>
      <c r="BE287" s="69"/>
      <c r="BF287" s="69"/>
      <c r="BG287" s="69"/>
      <c r="BH287" s="69"/>
      <c r="BI287" s="69"/>
      <c r="BJ287" s="69"/>
      <c r="BK287" s="69"/>
      <c r="BL287" s="69"/>
      <c r="BM287" s="69"/>
      <c r="BN287" s="69"/>
      <c r="BO287" s="69"/>
      <c r="BP287" s="69"/>
      <c r="BQ287" s="69"/>
      <c r="BR287" s="8"/>
    </row>
    <row r="288" ht="12.0" customHeight="1">
      <c r="A288" s="69"/>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69"/>
      <c r="AS288" s="69"/>
      <c r="AT288" s="69"/>
      <c r="AU288" s="69"/>
      <c r="AV288" s="69"/>
      <c r="AW288" s="69"/>
      <c r="AX288" s="69"/>
      <c r="AY288" s="69"/>
      <c r="AZ288" s="69"/>
      <c r="BA288" s="69"/>
      <c r="BB288" s="69"/>
      <c r="BC288" s="69"/>
      <c r="BD288" s="69"/>
      <c r="BE288" s="69"/>
      <c r="BF288" s="69"/>
      <c r="BG288" s="69"/>
      <c r="BH288" s="69"/>
      <c r="BI288" s="69"/>
      <c r="BJ288" s="69"/>
      <c r="BK288" s="69"/>
      <c r="BL288" s="69"/>
      <c r="BM288" s="69"/>
      <c r="BN288" s="69"/>
      <c r="BO288" s="69"/>
      <c r="BP288" s="69"/>
      <c r="BQ288" s="69"/>
      <c r="BR288" s="8"/>
    </row>
    <row r="289" ht="12.0" customHeight="1">
      <c r="A289" s="69"/>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69"/>
      <c r="AS289" s="69"/>
      <c r="AT289" s="69"/>
      <c r="AU289" s="69"/>
      <c r="AV289" s="69"/>
      <c r="AW289" s="69"/>
      <c r="AX289" s="69"/>
      <c r="AY289" s="69"/>
      <c r="AZ289" s="69"/>
      <c r="BA289" s="69"/>
      <c r="BB289" s="69"/>
      <c r="BC289" s="69"/>
      <c r="BD289" s="69"/>
      <c r="BE289" s="69"/>
      <c r="BF289" s="69"/>
      <c r="BG289" s="69"/>
      <c r="BH289" s="69"/>
      <c r="BI289" s="69"/>
      <c r="BJ289" s="69"/>
      <c r="BK289" s="69"/>
      <c r="BL289" s="69"/>
      <c r="BM289" s="69"/>
      <c r="BN289" s="69"/>
      <c r="BO289" s="69"/>
      <c r="BP289" s="69"/>
      <c r="BQ289" s="69"/>
      <c r="BR289" s="8"/>
    </row>
    <row r="290" ht="12.0" customHeight="1">
      <c r="A290" s="69"/>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69"/>
      <c r="AS290" s="69"/>
      <c r="AT290" s="69"/>
      <c r="AU290" s="69"/>
      <c r="AV290" s="69"/>
      <c r="AW290" s="69"/>
      <c r="AX290" s="69"/>
      <c r="AY290" s="69"/>
      <c r="AZ290" s="69"/>
      <c r="BA290" s="69"/>
      <c r="BB290" s="69"/>
      <c r="BC290" s="69"/>
      <c r="BD290" s="69"/>
      <c r="BE290" s="69"/>
      <c r="BF290" s="69"/>
      <c r="BG290" s="69"/>
      <c r="BH290" s="69"/>
      <c r="BI290" s="69"/>
      <c r="BJ290" s="69"/>
      <c r="BK290" s="69"/>
      <c r="BL290" s="69"/>
      <c r="BM290" s="69"/>
      <c r="BN290" s="69"/>
      <c r="BO290" s="69"/>
      <c r="BP290" s="69"/>
      <c r="BQ290" s="69"/>
      <c r="BR290" s="8"/>
    </row>
    <row r="291" ht="12.0" customHeight="1">
      <c r="A291" s="69"/>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69"/>
      <c r="AS291" s="69"/>
      <c r="AT291" s="69"/>
      <c r="AU291" s="69"/>
      <c r="AV291" s="69"/>
      <c r="AW291" s="69"/>
      <c r="AX291" s="69"/>
      <c r="AY291" s="69"/>
      <c r="AZ291" s="69"/>
      <c r="BA291" s="69"/>
      <c r="BB291" s="69"/>
      <c r="BC291" s="69"/>
      <c r="BD291" s="69"/>
      <c r="BE291" s="69"/>
      <c r="BF291" s="69"/>
      <c r="BG291" s="69"/>
      <c r="BH291" s="69"/>
      <c r="BI291" s="69"/>
      <c r="BJ291" s="69"/>
      <c r="BK291" s="69"/>
      <c r="BL291" s="69"/>
      <c r="BM291" s="69"/>
      <c r="BN291" s="69"/>
      <c r="BO291" s="69"/>
      <c r="BP291" s="69"/>
      <c r="BQ291" s="69"/>
      <c r="BR291" s="8"/>
    </row>
    <row r="292" ht="12.0" customHeight="1">
      <c r="A292" s="69"/>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69"/>
      <c r="AS292" s="69"/>
      <c r="AT292" s="69"/>
      <c r="AU292" s="69"/>
      <c r="AV292" s="69"/>
      <c r="AW292" s="69"/>
      <c r="AX292" s="69"/>
      <c r="AY292" s="69"/>
      <c r="AZ292" s="69"/>
      <c r="BA292" s="69"/>
      <c r="BB292" s="69"/>
      <c r="BC292" s="69"/>
      <c r="BD292" s="69"/>
      <c r="BE292" s="69"/>
      <c r="BF292" s="69"/>
      <c r="BG292" s="69"/>
      <c r="BH292" s="69"/>
      <c r="BI292" s="69"/>
      <c r="BJ292" s="69"/>
      <c r="BK292" s="69"/>
      <c r="BL292" s="69"/>
      <c r="BM292" s="69"/>
      <c r="BN292" s="69"/>
      <c r="BO292" s="69"/>
      <c r="BP292" s="69"/>
      <c r="BQ292" s="69"/>
      <c r="BR292" s="8"/>
    </row>
    <row r="293" ht="12.0" customHeight="1">
      <c r="A293" s="69"/>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69"/>
      <c r="AS293" s="69"/>
      <c r="AT293" s="69"/>
      <c r="AU293" s="69"/>
      <c r="AV293" s="69"/>
      <c r="AW293" s="69"/>
      <c r="AX293" s="69"/>
      <c r="AY293" s="69"/>
      <c r="AZ293" s="69"/>
      <c r="BA293" s="69"/>
      <c r="BB293" s="69"/>
      <c r="BC293" s="69"/>
      <c r="BD293" s="69"/>
      <c r="BE293" s="69"/>
      <c r="BF293" s="69"/>
      <c r="BG293" s="69"/>
      <c r="BH293" s="69"/>
      <c r="BI293" s="69"/>
      <c r="BJ293" s="69"/>
      <c r="BK293" s="69"/>
      <c r="BL293" s="69"/>
      <c r="BM293" s="69"/>
      <c r="BN293" s="69"/>
      <c r="BO293" s="69"/>
      <c r="BP293" s="69"/>
      <c r="BQ293" s="69"/>
      <c r="BR293" s="8"/>
    </row>
    <row r="294" ht="12.0" customHeight="1">
      <c r="A294" s="69"/>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69"/>
      <c r="AS294" s="69"/>
      <c r="AT294" s="69"/>
      <c r="AU294" s="69"/>
      <c r="AV294" s="69"/>
      <c r="AW294" s="69"/>
      <c r="AX294" s="69"/>
      <c r="AY294" s="69"/>
      <c r="AZ294" s="69"/>
      <c r="BA294" s="69"/>
      <c r="BB294" s="69"/>
      <c r="BC294" s="69"/>
      <c r="BD294" s="69"/>
      <c r="BE294" s="69"/>
      <c r="BF294" s="69"/>
      <c r="BG294" s="69"/>
      <c r="BH294" s="69"/>
      <c r="BI294" s="69"/>
      <c r="BJ294" s="69"/>
      <c r="BK294" s="69"/>
      <c r="BL294" s="69"/>
      <c r="BM294" s="69"/>
      <c r="BN294" s="69"/>
      <c r="BO294" s="69"/>
      <c r="BP294" s="69"/>
      <c r="BQ294" s="69"/>
      <c r="BR294" s="8"/>
    </row>
    <row r="295" ht="12.0" customHeight="1">
      <c r="A295" s="69"/>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69"/>
      <c r="AS295" s="69"/>
      <c r="AT295" s="69"/>
      <c r="AU295" s="69"/>
      <c r="AV295" s="69"/>
      <c r="AW295" s="69"/>
      <c r="AX295" s="69"/>
      <c r="AY295" s="69"/>
      <c r="AZ295" s="69"/>
      <c r="BA295" s="69"/>
      <c r="BB295" s="69"/>
      <c r="BC295" s="69"/>
      <c r="BD295" s="69"/>
      <c r="BE295" s="69"/>
      <c r="BF295" s="69"/>
      <c r="BG295" s="69"/>
      <c r="BH295" s="69"/>
      <c r="BI295" s="69"/>
      <c r="BJ295" s="69"/>
      <c r="BK295" s="69"/>
      <c r="BL295" s="69"/>
      <c r="BM295" s="69"/>
      <c r="BN295" s="69"/>
      <c r="BO295" s="69"/>
      <c r="BP295" s="69"/>
      <c r="BQ295" s="69"/>
      <c r="BR295" s="8"/>
    </row>
    <row r="296" ht="12.0" customHeight="1">
      <c r="A296" s="69"/>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69"/>
      <c r="AS296" s="69"/>
      <c r="AT296" s="69"/>
      <c r="AU296" s="69"/>
      <c r="AV296" s="69"/>
      <c r="AW296" s="69"/>
      <c r="AX296" s="69"/>
      <c r="AY296" s="69"/>
      <c r="AZ296" s="69"/>
      <c r="BA296" s="69"/>
      <c r="BB296" s="69"/>
      <c r="BC296" s="69"/>
      <c r="BD296" s="69"/>
      <c r="BE296" s="69"/>
      <c r="BF296" s="69"/>
      <c r="BG296" s="69"/>
      <c r="BH296" s="69"/>
      <c r="BI296" s="69"/>
      <c r="BJ296" s="69"/>
      <c r="BK296" s="69"/>
      <c r="BL296" s="69"/>
      <c r="BM296" s="69"/>
      <c r="BN296" s="69"/>
      <c r="BO296" s="69"/>
      <c r="BP296" s="69"/>
      <c r="BQ296" s="69"/>
      <c r="BR296" s="8"/>
    </row>
    <row r="297" ht="12.0" customHeight="1">
      <c r="A297" s="69"/>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69"/>
      <c r="AS297" s="69"/>
      <c r="AT297" s="69"/>
      <c r="AU297" s="69"/>
      <c r="AV297" s="69"/>
      <c r="AW297" s="69"/>
      <c r="AX297" s="69"/>
      <c r="AY297" s="69"/>
      <c r="AZ297" s="69"/>
      <c r="BA297" s="69"/>
      <c r="BB297" s="69"/>
      <c r="BC297" s="69"/>
      <c r="BD297" s="69"/>
      <c r="BE297" s="69"/>
      <c r="BF297" s="69"/>
      <c r="BG297" s="69"/>
      <c r="BH297" s="69"/>
      <c r="BI297" s="69"/>
      <c r="BJ297" s="69"/>
      <c r="BK297" s="69"/>
      <c r="BL297" s="69"/>
      <c r="BM297" s="69"/>
      <c r="BN297" s="69"/>
      <c r="BO297" s="69"/>
      <c r="BP297" s="69"/>
      <c r="BQ297" s="69"/>
      <c r="BR297" s="8"/>
    </row>
    <row r="298" ht="12.0" customHeight="1">
      <c r="A298" s="69"/>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69"/>
      <c r="AS298" s="69"/>
      <c r="AT298" s="69"/>
      <c r="AU298" s="69"/>
      <c r="AV298" s="69"/>
      <c r="AW298" s="69"/>
      <c r="AX298" s="69"/>
      <c r="AY298" s="69"/>
      <c r="AZ298" s="69"/>
      <c r="BA298" s="69"/>
      <c r="BB298" s="69"/>
      <c r="BC298" s="69"/>
      <c r="BD298" s="69"/>
      <c r="BE298" s="69"/>
      <c r="BF298" s="69"/>
      <c r="BG298" s="69"/>
      <c r="BH298" s="69"/>
      <c r="BI298" s="69"/>
      <c r="BJ298" s="69"/>
      <c r="BK298" s="69"/>
      <c r="BL298" s="69"/>
      <c r="BM298" s="69"/>
      <c r="BN298" s="69"/>
      <c r="BO298" s="69"/>
      <c r="BP298" s="69"/>
      <c r="BQ298" s="69"/>
      <c r="BR298" s="8"/>
    </row>
    <row r="299" ht="12.0" customHeight="1">
      <c r="A299" s="69"/>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69"/>
      <c r="AS299" s="69"/>
      <c r="AT299" s="69"/>
      <c r="AU299" s="69"/>
      <c r="AV299" s="69"/>
      <c r="AW299" s="69"/>
      <c r="AX299" s="69"/>
      <c r="AY299" s="69"/>
      <c r="AZ299" s="69"/>
      <c r="BA299" s="69"/>
      <c r="BB299" s="69"/>
      <c r="BC299" s="69"/>
      <c r="BD299" s="69"/>
      <c r="BE299" s="69"/>
      <c r="BF299" s="69"/>
      <c r="BG299" s="69"/>
      <c r="BH299" s="69"/>
      <c r="BI299" s="69"/>
      <c r="BJ299" s="69"/>
      <c r="BK299" s="69"/>
      <c r="BL299" s="69"/>
      <c r="BM299" s="69"/>
      <c r="BN299" s="69"/>
      <c r="BO299" s="69"/>
      <c r="BP299" s="69"/>
      <c r="BQ299" s="69"/>
      <c r="BR299" s="8"/>
    </row>
    <row r="300" ht="12.0" customHeight="1">
      <c r="A300" s="69"/>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69"/>
      <c r="AS300" s="69"/>
      <c r="AT300" s="69"/>
      <c r="AU300" s="69"/>
      <c r="AV300" s="69"/>
      <c r="AW300" s="69"/>
      <c r="AX300" s="69"/>
      <c r="AY300" s="69"/>
      <c r="AZ300" s="69"/>
      <c r="BA300" s="69"/>
      <c r="BB300" s="69"/>
      <c r="BC300" s="69"/>
      <c r="BD300" s="69"/>
      <c r="BE300" s="69"/>
      <c r="BF300" s="69"/>
      <c r="BG300" s="69"/>
      <c r="BH300" s="69"/>
      <c r="BI300" s="69"/>
      <c r="BJ300" s="69"/>
      <c r="BK300" s="69"/>
      <c r="BL300" s="69"/>
      <c r="BM300" s="69"/>
      <c r="BN300" s="69"/>
      <c r="BO300" s="69"/>
      <c r="BP300" s="69"/>
      <c r="BQ300" s="69"/>
      <c r="BR300" s="8"/>
    </row>
    <row r="301" ht="12.0" customHeight="1">
      <c r="A301" s="69"/>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69"/>
      <c r="AS301" s="69"/>
      <c r="AT301" s="69"/>
      <c r="AU301" s="69"/>
      <c r="AV301" s="69"/>
      <c r="AW301" s="69"/>
      <c r="AX301" s="69"/>
      <c r="AY301" s="69"/>
      <c r="AZ301" s="69"/>
      <c r="BA301" s="69"/>
      <c r="BB301" s="69"/>
      <c r="BC301" s="69"/>
      <c r="BD301" s="69"/>
      <c r="BE301" s="69"/>
      <c r="BF301" s="69"/>
      <c r="BG301" s="69"/>
      <c r="BH301" s="69"/>
      <c r="BI301" s="69"/>
      <c r="BJ301" s="69"/>
      <c r="BK301" s="69"/>
      <c r="BL301" s="69"/>
      <c r="BM301" s="69"/>
      <c r="BN301" s="69"/>
      <c r="BO301" s="69"/>
      <c r="BP301" s="69"/>
      <c r="BQ301" s="69"/>
      <c r="BR301" s="8"/>
    </row>
    <row r="302" ht="12.0" customHeight="1">
      <c r="A302" s="69"/>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69"/>
      <c r="AS302" s="69"/>
      <c r="AT302" s="69"/>
      <c r="AU302" s="69"/>
      <c r="AV302" s="69"/>
      <c r="AW302" s="69"/>
      <c r="AX302" s="69"/>
      <c r="AY302" s="69"/>
      <c r="AZ302" s="69"/>
      <c r="BA302" s="69"/>
      <c r="BB302" s="69"/>
      <c r="BC302" s="69"/>
      <c r="BD302" s="69"/>
      <c r="BE302" s="69"/>
      <c r="BF302" s="69"/>
      <c r="BG302" s="69"/>
      <c r="BH302" s="69"/>
      <c r="BI302" s="69"/>
      <c r="BJ302" s="69"/>
      <c r="BK302" s="69"/>
      <c r="BL302" s="69"/>
      <c r="BM302" s="69"/>
      <c r="BN302" s="69"/>
      <c r="BO302" s="69"/>
      <c r="BP302" s="69"/>
      <c r="BQ302" s="69"/>
      <c r="BR302" s="8"/>
    </row>
    <row r="303" ht="12.0" customHeight="1">
      <c r="A303" s="69"/>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69"/>
      <c r="AS303" s="69"/>
      <c r="AT303" s="69"/>
      <c r="AU303" s="69"/>
      <c r="AV303" s="69"/>
      <c r="AW303" s="69"/>
      <c r="AX303" s="69"/>
      <c r="AY303" s="69"/>
      <c r="AZ303" s="69"/>
      <c r="BA303" s="69"/>
      <c r="BB303" s="69"/>
      <c r="BC303" s="69"/>
      <c r="BD303" s="69"/>
      <c r="BE303" s="69"/>
      <c r="BF303" s="69"/>
      <c r="BG303" s="69"/>
      <c r="BH303" s="69"/>
      <c r="BI303" s="69"/>
      <c r="BJ303" s="69"/>
      <c r="BK303" s="69"/>
      <c r="BL303" s="69"/>
      <c r="BM303" s="69"/>
      <c r="BN303" s="69"/>
      <c r="BO303" s="69"/>
      <c r="BP303" s="69"/>
      <c r="BQ303" s="69"/>
      <c r="BR303" s="8"/>
    </row>
    <row r="304" ht="12.0" customHeight="1">
      <c r="A304" s="69"/>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69"/>
      <c r="AS304" s="69"/>
      <c r="AT304" s="69"/>
      <c r="AU304" s="69"/>
      <c r="AV304" s="69"/>
      <c r="AW304" s="69"/>
      <c r="AX304" s="69"/>
      <c r="AY304" s="69"/>
      <c r="AZ304" s="69"/>
      <c r="BA304" s="69"/>
      <c r="BB304" s="69"/>
      <c r="BC304" s="69"/>
      <c r="BD304" s="69"/>
      <c r="BE304" s="69"/>
      <c r="BF304" s="69"/>
      <c r="BG304" s="69"/>
      <c r="BH304" s="69"/>
      <c r="BI304" s="69"/>
      <c r="BJ304" s="69"/>
      <c r="BK304" s="69"/>
      <c r="BL304" s="69"/>
      <c r="BM304" s="69"/>
      <c r="BN304" s="69"/>
      <c r="BO304" s="69"/>
      <c r="BP304" s="69"/>
      <c r="BQ304" s="69"/>
      <c r="BR304" s="8"/>
    </row>
    <row r="305" ht="12.0" customHeight="1">
      <c r="A305" s="69"/>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69"/>
      <c r="AS305" s="69"/>
      <c r="AT305" s="69"/>
      <c r="AU305" s="69"/>
      <c r="AV305" s="69"/>
      <c r="AW305" s="69"/>
      <c r="AX305" s="69"/>
      <c r="AY305" s="69"/>
      <c r="AZ305" s="69"/>
      <c r="BA305" s="69"/>
      <c r="BB305" s="69"/>
      <c r="BC305" s="69"/>
      <c r="BD305" s="69"/>
      <c r="BE305" s="69"/>
      <c r="BF305" s="69"/>
      <c r="BG305" s="69"/>
      <c r="BH305" s="69"/>
      <c r="BI305" s="69"/>
      <c r="BJ305" s="69"/>
      <c r="BK305" s="69"/>
      <c r="BL305" s="69"/>
      <c r="BM305" s="69"/>
      <c r="BN305" s="69"/>
      <c r="BO305" s="69"/>
      <c r="BP305" s="69"/>
      <c r="BQ305" s="69"/>
      <c r="BR305" s="8"/>
    </row>
    <row r="306" ht="12.0" customHeight="1">
      <c r="A306" s="69"/>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69"/>
      <c r="AS306" s="69"/>
      <c r="AT306" s="69"/>
      <c r="AU306" s="69"/>
      <c r="AV306" s="69"/>
      <c r="AW306" s="69"/>
      <c r="AX306" s="69"/>
      <c r="AY306" s="69"/>
      <c r="AZ306" s="69"/>
      <c r="BA306" s="69"/>
      <c r="BB306" s="69"/>
      <c r="BC306" s="69"/>
      <c r="BD306" s="69"/>
      <c r="BE306" s="69"/>
      <c r="BF306" s="69"/>
      <c r="BG306" s="69"/>
      <c r="BH306" s="69"/>
      <c r="BI306" s="69"/>
      <c r="BJ306" s="69"/>
      <c r="BK306" s="69"/>
      <c r="BL306" s="69"/>
      <c r="BM306" s="69"/>
      <c r="BN306" s="69"/>
      <c r="BO306" s="69"/>
      <c r="BP306" s="69"/>
      <c r="BQ306" s="69"/>
      <c r="BR306" s="8"/>
    </row>
    <row r="307" ht="12.0" customHeight="1">
      <c r="A307" s="69"/>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69"/>
      <c r="AS307" s="69"/>
      <c r="AT307" s="69"/>
      <c r="AU307" s="69"/>
      <c r="AV307" s="69"/>
      <c r="AW307" s="69"/>
      <c r="AX307" s="69"/>
      <c r="AY307" s="69"/>
      <c r="AZ307" s="69"/>
      <c r="BA307" s="69"/>
      <c r="BB307" s="69"/>
      <c r="BC307" s="69"/>
      <c r="BD307" s="69"/>
      <c r="BE307" s="69"/>
      <c r="BF307" s="69"/>
      <c r="BG307" s="69"/>
      <c r="BH307" s="69"/>
      <c r="BI307" s="69"/>
      <c r="BJ307" s="69"/>
      <c r="BK307" s="69"/>
      <c r="BL307" s="69"/>
      <c r="BM307" s="69"/>
      <c r="BN307" s="69"/>
      <c r="BO307" s="69"/>
      <c r="BP307" s="69"/>
      <c r="BQ307" s="69"/>
      <c r="BR307" s="8"/>
    </row>
    <row r="308" ht="12.0" customHeight="1">
      <c r="A308" s="69"/>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69"/>
      <c r="AS308" s="69"/>
      <c r="AT308" s="69"/>
      <c r="AU308" s="69"/>
      <c r="AV308" s="69"/>
      <c r="AW308" s="69"/>
      <c r="AX308" s="69"/>
      <c r="AY308" s="69"/>
      <c r="AZ308" s="69"/>
      <c r="BA308" s="69"/>
      <c r="BB308" s="69"/>
      <c r="BC308" s="69"/>
      <c r="BD308" s="69"/>
      <c r="BE308" s="69"/>
      <c r="BF308" s="69"/>
      <c r="BG308" s="69"/>
      <c r="BH308" s="69"/>
      <c r="BI308" s="69"/>
      <c r="BJ308" s="69"/>
      <c r="BK308" s="69"/>
      <c r="BL308" s="69"/>
      <c r="BM308" s="69"/>
      <c r="BN308" s="69"/>
      <c r="BO308" s="69"/>
      <c r="BP308" s="69"/>
      <c r="BQ308" s="69"/>
      <c r="BR308" s="8"/>
    </row>
    <row r="309" ht="12.0" customHeight="1">
      <c r="A309" s="69"/>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69"/>
      <c r="AS309" s="69"/>
      <c r="AT309" s="69"/>
      <c r="AU309" s="69"/>
      <c r="AV309" s="69"/>
      <c r="AW309" s="69"/>
      <c r="AX309" s="69"/>
      <c r="AY309" s="69"/>
      <c r="AZ309" s="69"/>
      <c r="BA309" s="69"/>
      <c r="BB309" s="69"/>
      <c r="BC309" s="69"/>
      <c r="BD309" s="69"/>
      <c r="BE309" s="69"/>
      <c r="BF309" s="69"/>
      <c r="BG309" s="69"/>
      <c r="BH309" s="69"/>
      <c r="BI309" s="69"/>
      <c r="BJ309" s="69"/>
      <c r="BK309" s="69"/>
      <c r="BL309" s="69"/>
      <c r="BM309" s="69"/>
      <c r="BN309" s="69"/>
      <c r="BO309" s="69"/>
      <c r="BP309" s="69"/>
      <c r="BQ309" s="69"/>
      <c r="BR309" s="8"/>
    </row>
    <row r="310" ht="12.0" customHeight="1">
      <c r="A310" s="69"/>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69"/>
      <c r="AS310" s="69"/>
      <c r="AT310" s="69"/>
      <c r="AU310" s="69"/>
      <c r="AV310" s="69"/>
      <c r="AW310" s="69"/>
      <c r="AX310" s="69"/>
      <c r="AY310" s="69"/>
      <c r="AZ310" s="69"/>
      <c r="BA310" s="69"/>
      <c r="BB310" s="69"/>
      <c r="BC310" s="69"/>
      <c r="BD310" s="69"/>
      <c r="BE310" s="69"/>
      <c r="BF310" s="69"/>
      <c r="BG310" s="69"/>
      <c r="BH310" s="69"/>
      <c r="BI310" s="69"/>
      <c r="BJ310" s="69"/>
      <c r="BK310" s="69"/>
      <c r="BL310" s="69"/>
      <c r="BM310" s="69"/>
      <c r="BN310" s="69"/>
      <c r="BO310" s="69"/>
      <c r="BP310" s="69"/>
      <c r="BQ310" s="69"/>
      <c r="BR310" s="8"/>
    </row>
    <row r="311" ht="12.0" customHeight="1">
      <c r="A311" s="69"/>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69"/>
      <c r="AS311" s="69"/>
      <c r="AT311" s="69"/>
      <c r="AU311" s="69"/>
      <c r="AV311" s="69"/>
      <c r="AW311" s="69"/>
      <c r="AX311" s="69"/>
      <c r="AY311" s="69"/>
      <c r="AZ311" s="69"/>
      <c r="BA311" s="69"/>
      <c r="BB311" s="69"/>
      <c r="BC311" s="69"/>
      <c r="BD311" s="69"/>
      <c r="BE311" s="69"/>
      <c r="BF311" s="69"/>
      <c r="BG311" s="69"/>
      <c r="BH311" s="69"/>
      <c r="BI311" s="69"/>
      <c r="BJ311" s="69"/>
      <c r="BK311" s="69"/>
      <c r="BL311" s="69"/>
      <c r="BM311" s="69"/>
      <c r="BN311" s="69"/>
      <c r="BO311" s="69"/>
      <c r="BP311" s="69"/>
      <c r="BQ311" s="69"/>
      <c r="BR311" s="8"/>
    </row>
    <row r="312" ht="12.0" customHeight="1">
      <c r="A312" s="69"/>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69"/>
      <c r="AS312" s="69"/>
      <c r="AT312" s="69"/>
      <c r="AU312" s="69"/>
      <c r="AV312" s="69"/>
      <c r="AW312" s="69"/>
      <c r="AX312" s="69"/>
      <c r="AY312" s="69"/>
      <c r="AZ312" s="69"/>
      <c r="BA312" s="69"/>
      <c r="BB312" s="69"/>
      <c r="BC312" s="69"/>
      <c r="BD312" s="69"/>
      <c r="BE312" s="69"/>
      <c r="BF312" s="69"/>
      <c r="BG312" s="69"/>
      <c r="BH312" s="69"/>
      <c r="BI312" s="69"/>
      <c r="BJ312" s="69"/>
      <c r="BK312" s="69"/>
      <c r="BL312" s="69"/>
      <c r="BM312" s="69"/>
      <c r="BN312" s="69"/>
      <c r="BO312" s="69"/>
      <c r="BP312" s="69"/>
      <c r="BQ312" s="69"/>
      <c r="BR312" s="8"/>
    </row>
    <row r="313" ht="12.0" customHeight="1">
      <c r="A313" s="69"/>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69"/>
      <c r="AS313" s="69"/>
      <c r="AT313" s="69"/>
      <c r="AU313" s="69"/>
      <c r="AV313" s="69"/>
      <c r="AW313" s="69"/>
      <c r="AX313" s="69"/>
      <c r="AY313" s="69"/>
      <c r="AZ313" s="69"/>
      <c r="BA313" s="69"/>
      <c r="BB313" s="69"/>
      <c r="BC313" s="69"/>
      <c r="BD313" s="69"/>
      <c r="BE313" s="69"/>
      <c r="BF313" s="69"/>
      <c r="BG313" s="69"/>
      <c r="BH313" s="69"/>
      <c r="BI313" s="69"/>
      <c r="BJ313" s="69"/>
      <c r="BK313" s="69"/>
      <c r="BL313" s="69"/>
      <c r="BM313" s="69"/>
      <c r="BN313" s="69"/>
      <c r="BO313" s="69"/>
      <c r="BP313" s="69"/>
      <c r="BQ313" s="69"/>
      <c r="BR313" s="8"/>
    </row>
    <row r="314" ht="12.0" customHeight="1">
      <c r="A314" s="69"/>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69"/>
      <c r="AS314" s="69"/>
      <c r="AT314" s="69"/>
      <c r="AU314" s="69"/>
      <c r="AV314" s="69"/>
      <c r="AW314" s="69"/>
      <c r="AX314" s="69"/>
      <c r="AY314" s="69"/>
      <c r="AZ314" s="69"/>
      <c r="BA314" s="69"/>
      <c r="BB314" s="69"/>
      <c r="BC314" s="69"/>
      <c r="BD314" s="69"/>
      <c r="BE314" s="69"/>
      <c r="BF314" s="69"/>
      <c r="BG314" s="69"/>
      <c r="BH314" s="69"/>
      <c r="BI314" s="69"/>
      <c r="BJ314" s="69"/>
      <c r="BK314" s="69"/>
      <c r="BL314" s="69"/>
      <c r="BM314" s="69"/>
      <c r="BN314" s="69"/>
      <c r="BO314" s="69"/>
      <c r="BP314" s="69"/>
      <c r="BQ314" s="69"/>
      <c r="BR314" s="8"/>
    </row>
    <row r="315" ht="12.0" customHeight="1">
      <c r="A315" s="69"/>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69"/>
      <c r="AS315" s="69"/>
      <c r="AT315" s="69"/>
      <c r="AU315" s="69"/>
      <c r="AV315" s="69"/>
      <c r="AW315" s="69"/>
      <c r="AX315" s="69"/>
      <c r="AY315" s="69"/>
      <c r="AZ315" s="69"/>
      <c r="BA315" s="69"/>
      <c r="BB315" s="69"/>
      <c r="BC315" s="69"/>
      <c r="BD315" s="69"/>
      <c r="BE315" s="69"/>
      <c r="BF315" s="69"/>
      <c r="BG315" s="69"/>
      <c r="BH315" s="69"/>
      <c r="BI315" s="69"/>
      <c r="BJ315" s="69"/>
      <c r="BK315" s="69"/>
      <c r="BL315" s="69"/>
      <c r="BM315" s="69"/>
      <c r="BN315" s="69"/>
      <c r="BO315" s="69"/>
      <c r="BP315" s="69"/>
      <c r="BQ315" s="69"/>
      <c r="BR315" s="8"/>
    </row>
    <row r="316" ht="12.0" customHeight="1">
      <c r="A316" s="69"/>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69"/>
      <c r="AS316" s="69"/>
      <c r="AT316" s="69"/>
      <c r="AU316" s="69"/>
      <c r="AV316" s="69"/>
      <c r="AW316" s="69"/>
      <c r="AX316" s="69"/>
      <c r="AY316" s="69"/>
      <c r="AZ316" s="69"/>
      <c r="BA316" s="69"/>
      <c r="BB316" s="69"/>
      <c r="BC316" s="69"/>
      <c r="BD316" s="69"/>
      <c r="BE316" s="69"/>
      <c r="BF316" s="69"/>
      <c r="BG316" s="69"/>
      <c r="BH316" s="69"/>
      <c r="BI316" s="69"/>
      <c r="BJ316" s="69"/>
      <c r="BK316" s="69"/>
      <c r="BL316" s="69"/>
      <c r="BM316" s="69"/>
      <c r="BN316" s="69"/>
      <c r="BO316" s="69"/>
      <c r="BP316" s="69"/>
      <c r="BQ316" s="69"/>
      <c r="BR316" s="8"/>
    </row>
    <row r="317" ht="12.0" customHeight="1">
      <c r="A317" s="69"/>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69"/>
      <c r="AS317" s="69"/>
      <c r="AT317" s="69"/>
      <c r="AU317" s="69"/>
      <c r="AV317" s="69"/>
      <c r="AW317" s="69"/>
      <c r="AX317" s="69"/>
      <c r="AY317" s="69"/>
      <c r="AZ317" s="69"/>
      <c r="BA317" s="69"/>
      <c r="BB317" s="69"/>
      <c r="BC317" s="69"/>
      <c r="BD317" s="69"/>
      <c r="BE317" s="69"/>
      <c r="BF317" s="69"/>
      <c r="BG317" s="69"/>
      <c r="BH317" s="69"/>
      <c r="BI317" s="69"/>
      <c r="BJ317" s="69"/>
      <c r="BK317" s="69"/>
      <c r="BL317" s="69"/>
      <c r="BM317" s="69"/>
      <c r="BN317" s="69"/>
      <c r="BO317" s="69"/>
      <c r="BP317" s="69"/>
      <c r="BQ317" s="69"/>
      <c r="BR317" s="8"/>
    </row>
    <row r="318" ht="12.0" customHeight="1">
      <c r="A318" s="69"/>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69"/>
      <c r="AS318" s="69"/>
      <c r="AT318" s="69"/>
      <c r="AU318" s="69"/>
      <c r="AV318" s="69"/>
      <c r="AW318" s="69"/>
      <c r="AX318" s="69"/>
      <c r="AY318" s="69"/>
      <c r="AZ318" s="69"/>
      <c r="BA318" s="69"/>
      <c r="BB318" s="69"/>
      <c r="BC318" s="69"/>
      <c r="BD318" s="69"/>
      <c r="BE318" s="69"/>
      <c r="BF318" s="69"/>
      <c r="BG318" s="69"/>
      <c r="BH318" s="69"/>
      <c r="BI318" s="69"/>
      <c r="BJ318" s="69"/>
      <c r="BK318" s="69"/>
      <c r="BL318" s="69"/>
      <c r="BM318" s="69"/>
      <c r="BN318" s="69"/>
      <c r="BO318" s="69"/>
      <c r="BP318" s="69"/>
      <c r="BQ318" s="69"/>
      <c r="BR318" s="8"/>
    </row>
    <row r="319" ht="12.0" customHeight="1">
      <c r="A319" s="69"/>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69"/>
      <c r="AS319" s="69"/>
      <c r="AT319" s="69"/>
      <c r="AU319" s="69"/>
      <c r="AV319" s="69"/>
      <c r="AW319" s="69"/>
      <c r="AX319" s="69"/>
      <c r="AY319" s="69"/>
      <c r="AZ319" s="69"/>
      <c r="BA319" s="69"/>
      <c r="BB319" s="69"/>
      <c r="BC319" s="69"/>
      <c r="BD319" s="69"/>
      <c r="BE319" s="69"/>
      <c r="BF319" s="69"/>
      <c r="BG319" s="69"/>
      <c r="BH319" s="69"/>
      <c r="BI319" s="69"/>
      <c r="BJ319" s="69"/>
      <c r="BK319" s="69"/>
      <c r="BL319" s="69"/>
      <c r="BM319" s="69"/>
      <c r="BN319" s="69"/>
      <c r="BO319" s="69"/>
      <c r="BP319" s="69"/>
      <c r="BQ319" s="69"/>
      <c r="BR319" s="8"/>
    </row>
    <row r="320" ht="12.0" customHeight="1">
      <c r="A320" s="69"/>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69"/>
      <c r="AS320" s="69"/>
      <c r="AT320" s="69"/>
      <c r="AU320" s="69"/>
      <c r="AV320" s="69"/>
      <c r="AW320" s="69"/>
      <c r="AX320" s="69"/>
      <c r="AY320" s="69"/>
      <c r="AZ320" s="69"/>
      <c r="BA320" s="69"/>
      <c r="BB320" s="69"/>
      <c r="BC320" s="69"/>
      <c r="BD320" s="69"/>
      <c r="BE320" s="69"/>
      <c r="BF320" s="69"/>
      <c r="BG320" s="69"/>
      <c r="BH320" s="69"/>
      <c r="BI320" s="69"/>
      <c r="BJ320" s="69"/>
      <c r="BK320" s="69"/>
      <c r="BL320" s="69"/>
      <c r="BM320" s="69"/>
      <c r="BN320" s="69"/>
      <c r="BO320" s="69"/>
      <c r="BP320" s="69"/>
      <c r="BQ320" s="69"/>
      <c r="BR320" s="8"/>
    </row>
    <row r="321" ht="12.0" customHeight="1">
      <c r="A321" s="69"/>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69"/>
      <c r="AS321" s="69"/>
      <c r="AT321" s="69"/>
      <c r="AU321" s="69"/>
      <c r="AV321" s="69"/>
      <c r="AW321" s="69"/>
      <c r="AX321" s="69"/>
      <c r="AY321" s="69"/>
      <c r="AZ321" s="69"/>
      <c r="BA321" s="69"/>
      <c r="BB321" s="69"/>
      <c r="BC321" s="69"/>
      <c r="BD321" s="69"/>
      <c r="BE321" s="69"/>
      <c r="BF321" s="69"/>
      <c r="BG321" s="69"/>
      <c r="BH321" s="69"/>
      <c r="BI321" s="69"/>
      <c r="BJ321" s="69"/>
      <c r="BK321" s="69"/>
      <c r="BL321" s="69"/>
      <c r="BM321" s="69"/>
      <c r="BN321" s="69"/>
      <c r="BO321" s="69"/>
      <c r="BP321" s="69"/>
      <c r="BQ321" s="69"/>
      <c r="BR321" s="8"/>
    </row>
    <row r="322" ht="12.0" customHeight="1">
      <c r="A322" s="69"/>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69"/>
      <c r="AS322" s="69"/>
      <c r="AT322" s="69"/>
      <c r="AU322" s="69"/>
      <c r="AV322" s="69"/>
      <c r="AW322" s="69"/>
      <c r="AX322" s="69"/>
      <c r="AY322" s="69"/>
      <c r="AZ322" s="69"/>
      <c r="BA322" s="69"/>
      <c r="BB322" s="69"/>
      <c r="BC322" s="69"/>
      <c r="BD322" s="69"/>
      <c r="BE322" s="69"/>
      <c r="BF322" s="69"/>
      <c r="BG322" s="69"/>
      <c r="BH322" s="69"/>
      <c r="BI322" s="69"/>
      <c r="BJ322" s="69"/>
      <c r="BK322" s="69"/>
      <c r="BL322" s="69"/>
      <c r="BM322" s="69"/>
      <c r="BN322" s="69"/>
      <c r="BO322" s="69"/>
      <c r="BP322" s="69"/>
      <c r="BQ322" s="69"/>
      <c r="BR322" s="8"/>
    </row>
    <row r="323" ht="12.0" customHeight="1">
      <c r="A323" s="69"/>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69"/>
      <c r="AS323" s="69"/>
      <c r="AT323" s="69"/>
      <c r="AU323" s="69"/>
      <c r="AV323" s="69"/>
      <c r="AW323" s="69"/>
      <c r="AX323" s="69"/>
      <c r="AY323" s="69"/>
      <c r="AZ323" s="69"/>
      <c r="BA323" s="69"/>
      <c r="BB323" s="69"/>
      <c r="BC323" s="69"/>
      <c r="BD323" s="69"/>
      <c r="BE323" s="69"/>
      <c r="BF323" s="69"/>
      <c r="BG323" s="69"/>
      <c r="BH323" s="69"/>
      <c r="BI323" s="69"/>
      <c r="BJ323" s="69"/>
      <c r="BK323" s="69"/>
      <c r="BL323" s="69"/>
      <c r="BM323" s="69"/>
      <c r="BN323" s="69"/>
      <c r="BO323" s="69"/>
      <c r="BP323" s="69"/>
      <c r="BQ323" s="69"/>
      <c r="BR323" s="8"/>
    </row>
    <row r="324" ht="12.0" customHeight="1">
      <c r="A324" s="69"/>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69"/>
      <c r="AS324" s="69"/>
      <c r="AT324" s="69"/>
      <c r="AU324" s="69"/>
      <c r="AV324" s="69"/>
      <c r="AW324" s="69"/>
      <c r="AX324" s="69"/>
      <c r="AY324" s="69"/>
      <c r="AZ324" s="69"/>
      <c r="BA324" s="69"/>
      <c r="BB324" s="69"/>
      <c r="BC324" s="69"/>
      <c r="BD324" s="69"/>
      <c r="BE324" s="69"/>
      <c r="BF324" s="69"/>
      <c r="BG324" s="69"/>
      <c r="BH324" s="69"/>
      <c r="BI324" s="69"/>
      <c r="BJ324" s="69"/>
      <c r="BK324" s="69"/>
      <c r="BL324" s="69"/>
      <c r="BM324" s="69"/>
      <c r="BN324" s="69"/>
      <c r="BO324" s="69"/>
      <c r="BP324" s="69"/>
      <c r="BQ324" s="69"/>
      <c r="BR324" s="8"/>
    </row>
    <row r="325" ht="12.0" customHeight="1">
      <c r="A325" s="69"/>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69"/>
      <c r="AS325" s="69"/>
      <c r="AT325" s="69"/>
      <c r="AU325" s="69"/>
      <c r="AV325" s="69"/>
      <c r="AW325" s="69"/>
      <c r="AX325" s="69"/>
      <c r="AY325" s="69"/>
      <c r="AZ325" s="69"/>
      <c r="BA325" s="69"/>
      <c r="BB325" s="69"/>
      <c r="BC325" s="69"/>
      <c r="BD325" s="69"/>
      <c r="BE325" s="69"/>
      <c r="BF325" s="69"/>
      <c r="BG325" s="69"/>
      <c r="BH325" s="69"/>
      <c r="BI325" s="69"/>
      <c r="BJ325" s="69"/>
      <c r="BK325" s="69"/>
      <c r="BL325" s="69"/>
      <c r="BM325" s="69"/>
      <c r="BN325" s="69"/>
      <c r="BO325" s="69"/>
      <c r="BP325" s="69"/>
      <c r="BQ325" s="69"/>
      <c r="BR325" s="8"/>
    </row>
    <row r="326" ht="12.0" customHeight="1">
      <c r="A326" s="69"/>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69"/>
      <c r="AS326" s="69"/>
      <c r="AT326" s="69"/>
      <c r="AU326" s="69"/>
      <c r="AV326" s="69"/>
      <c r="AW326" s="69"/>
      <c r="AX326" s="69"/>
      <c r="AY326" s="69"/>
      <c r="AZ326" s="69"/>
      <c r="BA326" s="69"/>
      <c r="BB326" s="69"/>
      <c r="BC326" s="69"/>
      <c r="BD326" s="69"/>
      <c r="BE326" s="69"/>
      <c r="BF326" s="69"/>
      <c r="BG326" s="69"/>
      <c r="BH326" s="69"/>
      <c r="BI326" s="69"/>
      <c r="BJ326" s="69"/>
      <c r="BK326" s="69"/>
      <c r="BL326" s="69"/>
      <c r="BM326" s="69"/>
      <c r="BN326" s="69"/>
      <c r="BO326" s="69"/>
      <c r="BP326" s="69"/>
      <c r="BQ326" s="69"/>
      <c r="BR326" s="8"/>
    </row>
    <row r="327" ht="12.0" customHeight="1">
      <c r="A327" s="69"/>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69"/>
      <c r="AS327" s="69"/>
      <c r="AT327" s="69"/>
      <c r="AU327" s="69"/>
      <c r="AV327" s="69"/>
      <c r="AW327" s="69"/>
      <c r="AX327" s="69"/>
      <c r="AY327" s="69"/>
      <c r="AZ327" s="69"/>
      <c r="BA327" s="69"/>
      <c r="BB327" s="69"/>
      <c r="BC327" s="69"/>
      <c r="BD327" s="69"/>
      <c r="BE327" s="69"/>
      <c r="BF327" s="69"/>
      <c r="BG327" s="69"/>
      <c r="BH327" s="69"/>
      <c r="BI327" s="69"/>
      <c r="BJ327" s="69"/>
      <c r="BK327" s="69"/>
      <c r="BL327" s="69"/>
      <c r="BM327" s="69"/>
      <c r="BN327" s="69"/>
      <c r="BO327" s="69"/>
      <c r="BP327" s="69"/>
      <c r="BQ327" s="69"/>
      <c r="BR327" s="8"/>
    </row>
    <row r="328" ht="12.0" customHeight="1">
      <c r="A328" s="69"/>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69"/>
      <c r="AS328" s="69"/>
      <c r="AT328" s="69"/>
      <c r="AU328" s="69"/>
      <c r="AV328" s="69"/>
      <c r="AW328" s="69"/>
      <c r="AX328" s="69"/>
      <c r="AY328" s="69"/>
      <c r="AZ328" s="69"/>
      <c r="BA328" s="69"/>
      <c r="BB328" s="69"/>
      <c r="BC328" s="69"/>
      <c r="BD328" s="69"/>
      <c r="BE328" s="69"/>
      <c r="BF328" s="69"/>
      <c r="BG328" s="69"/>
      <c r="BH328" s="69"/>
      <c r="BI328" s="69"/>
      <c r="BJ328" s="69"/>
      <c r="BK328" s="69"/>
      <c r="BL328" s="69"/>
      <c r="BM328" s="69"/>
      <c r="BN328" s="69"/>
      <c r="BO328" s="69"/>
      <c r="BP328" s="69"/>
      <c r="BQ328" s="69"/>
      <c r="BR328" s="8"/>
    </row>
    <row r="329" ht="12.0" customHeight="1">
      <c r="A329" s="69"/>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69"/>
      <c r="AS329" s="69"/>
      <c r="AT329" s="69"/>
      <c r="AU329" s="69"/>
      <c r="AV329" s="69"/>
      <c r="AW329" s="69"/>
      <c r="AX329" s="69"/>
      <c r="AY329" s="69"/>
      <c r="AZ329" s="69"/>
      <c r="BA329" s="69"/>
      <c r="BB329" s="69"/>
      <c r="BC329" s="69"/>
      <c r="BD329" s="69"/>
      <c r="BE329" s="69"/>
      <c r="BF329" s="69"/>
      <c r="BG329" s="69"/>
      <c r="BH329" s="69"/>
      <c r="BI329" s="69"/>
      <c r="BJ329" s="69"/>
      <c r="BK329" s="69"/>
      <c r="BL329" s="69"/>
      <c r="BM329" s="69"/>
      <c r="BN329" s="69"/>
      <c r="BO329" s="69"/>
      <c r="BP329" s="69"/>
      <c r="BQ329" s="69"/>
      <c r="BR329" s="8"/>
    </row>
    <row r="330" ht="12.0" customHeight="1">
      <c r="A330" s="69"/>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69"/>
      <c r="AS330" s="69"/>
      <c r="AT330" s="69"/>
      <c r="AU330" s="69"/>
      <c r="AV330" s="69"/>
      <c r="AW330" s="69"/>
      <c r="AX330" s="69"/>
      <c r="AY330" s="69"/>
      <c r="AZ330" s="69"/>
      <c r="BA330" s="69"/>
      <c r="BB330" s="69"/>
      <c r="BC330" s="69"/>
      <c r="BD330" s="69"/>
      <c r="BE330" s="69"/>
      <c r="BF330" s="69"/>
      <c r="BG330" s="69"/>
      <c r="BH330" s="69"/>
      <c r="BI330" s="69"/>
      <c r="BJ330" s="69"/>
      <c r="BK330" s="69"/>
      <c r="BL330" s="69"/>
      <c r="BM330" s="69"/>
      <c r="BN330" s="69"/>
      <c r="BO330" s="69"/>
      <c r="BP330" s="69"/>
      <c r="BQ330" s="69"/>
      <c r="BR330" s="8"/>
    </row>
    <row r="331" ht="12.0" customHeight="1">
      <c r="A331" s="69"/>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69"/>
      <c r="AS331" s="69"/>
      <c r="AT331" s="69"/>
      <c r="AU331" s="69"/>
      <c r="AV331" s="69"/>
      <c r="AW331" s="69"/>
      <c r="AX331" s="69"/>
      <c r="AY331" s="69"/>
      <c r="AZ331" s="69"/>
      <c r="BA331" s="69"/>
      <c r="BB331" s="69"/>
      <c r="BC331" s="69"/>
      <c r="BD331" s="69"/>
      <c r="BE331" s="69"/>
      <c r="BF331" s="69"/>
      <c r="BG331" s="69"/>
      <c r="BH331" s="69"/>
      <c r="BI331" s="69"/>
      <c r="BJ331" s="69"/>
      <c r="BK331" s="69"/>
      <c r="BL331" s="69"/>
      <c r="BM331" s="69"/>
      <c r="BN331" s="69"/>
      <c r="BO331" s="69"/>
      <c r="BP331" s="69"/>
      <c r="BQ331" s="69"/>
      <c r="BR331" s="8"/>
    </row>
    <row r="332" ht="12.0" customHeight="1">
      <c r="A332" s="69"/>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69"/>
      <c r="AS332" s="69"/>
      <c r="AT332" s="69"/>
      <c r="AU332" s="69"/>
      <c r="AV332" s="69"/>
      <c r="AW332" s="69"/>
      <c r="AX332" s="69"/>
      <c r="AY332" s="69"/>
      <c r="AZ332" s="69"/>
      <c r="BA332" s="69"/>
      <c r="BB332" s="69"/>
      <c r="BC332" s="69"/>
      <c r="BD332" s="69"/>
      <c r="BE332" s="69"/>
      <c r="BF332" s="69"/>
      <c r="BG332" s="69"/>
      <c r="BH332" s="69"/>
      <c r="BI332" s="69"/>
      <c r="BJ332" s="69"/>
      <c r="BK332" s="69"/>
      <c r="BL332" s="69"/>
      <c r="BM332" s="69"/>
      <c r="BN332" s="69"/>
      <c r="BO332" s="69"/>
      <c r="BP332" s="69"/>
      <c r="BQ332" s="69"/>
      <c r="BR332" s="8"/>
    </row>
    <row r="333" ht="12.0" customHeight="1">
      <c r="A333" s="69"/>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69"/>
      <c r="AS333" s="69"/>
      <c r="AT333" s="69"/>
      <c r="AU333" s="69"/>
      <c r="AV333" s="69"/>
      <c r="AW333" s="69"/>
      <c r="AX333" s="69"/>
      <c r="AY333" s="69"/>
      <c r="AZ333" s="69"/>
      <c r="BA333" s="69"/>
      <c r="BB333" s="69"/>
      <c r="BC333" s="69"/>
      <c r="BD333" s="69"/>
      <c r="BE333" s="69"/>
      <c r="BF333" s="69"/>
      <c r="BG333" s="69"/>
      <c r="BH333" s="69"/>
      <c r="BI333" s="69"/>
      <c r="BJ333" s="69"/>
      <c r="BK333" s="69"/>
      <c r="BL333" s="69"/>
      <c r="BM333" s="69"/>
      <c r="BN333" s="69"/>
      <c r="BO333" s="69"/>
      <c r="BP333" s="69"/>
      <c r="BQ333" s="69"/>
      <c r="BR333" s="8"/>
    </row>
    <row r="334" ht="12.0" customHeight="1">
      <c r="A334" s="69"/>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69"/>
      <c r="AS334" s="69"/>
      <c r="AT334" s="69"/>
      <c r="AU334" s="69"/>
      <c r="AV334" s="69"/>
      <c r="AW334" s="69"/>
      <c r="AX334" s="69"/>
      <c r="AY334" s="69"/>
      <c r="AZ334" s="69"/>
      <c r="BA334" s="69"/>
      <c r="BB334" s="69"/>
      <c r="BC334" s="69"/>
      <c r="BD334" s="69"/>
      <c r="BE334" s="69"/>
      <c r="BF334" s="69"/>
      <c r="BG334" s="69"/>
      <c r="BH334" s="69"/>
      <c r="BI334" s="69"/>
      <c r="BJ334" s="69"/>
      <c r="BK334" s="69"/>
      <c r="BL334" s="69"/>
      <c r="BM334" s="69"/>
      <c r="BN334" s="69"/>
      <c r="BO334" s="69"/>
      <c r="BP334" s="69"/>
      <c r="BQ334" s="69"/>
      <c r="BR334" s="8"/>
    </row>
    <row r="335" ht="12.0" customHeight="1">
      <c r="A335" s="69"/>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69"/>
      <c r="AS335" s="69"/>
      <c r="AT335" s="69"/>
      <c r="AU335" s="69"/>
      <c r="AV335" s="69"/>
      <c r="AW335" s="69"/>
      <c r="AX335" s="69"/>
      <c r="AY335" s="69"/>
      <c r="AZ335" s="69"/>
      <c r="BA335" s="69"/>
      <c r="BB335" s="69"/>
      <c r="BC335" s="69"/>
      <c r="BD335" s="69"/>
      <c r="BE335" s="69"/>
      <c r="BF335" s="69"/>
      <c r="BG335" s="69"/>
      <c r="BH335" s="69"/>
      <c r="BI335" s="69"/>
      <c r="BJ335" s="69"/>
      <c r="BK335" s="69"/>
      <c r="BL335" s="69"/>
      <c r="BM335" s="69"/>
      <c r="BN335" s="69"/>
      <c r="BO335" s="69"/>
      <c r="BP335" s="69"/>
      <c r="BQ335" s="69"/>
      <c r="BR335" s="8"/>
    </row>
    <row r="336" ht="12.0" customHeight="1">
      <c r="A336" s="69"/>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69"/>
      <c r="AS336" s="69"/>
      <c r="AT336" s="69"/>
      <c r="AU336" s="69"/>
      <c r="AV336" s="69"/>
      <c r="AW336" s="69"/>
      <c r="AX336" s="69"/>
      <c r="AY336" s="69"/>
      <c r="AZ336" s="69"/>
      <c r="BA336" s="69"/>
      <c r="BB336" s="69"/>
      <c r="BC336" s="69"/>
      <c r="BD336" s="69"/>
      <c r="BE336" s="69"/>
      <c r="BF336" s="69"/>
      <c r="BG336" s="69"/>
      <c r="BH336" s="69"/>
      <c r="BI336" s="69"/>
      <c r="BJ336" s="69"/>
      <c r="BK336" s="69"/>
      <c r="BL336" s="69"/>
      <c r="BM336" s="69"/>
      <c r="BN336" s="69"/>
      <c r="BO336" s="69"/>
      <c r="BP336" s="69"/>
      <c r="BQ336" s="69"/>
      <c r="BR336" s="8"/>
    </row>
    <row r="337" ht="12.0" customHeight="1">
      <c r="A337" s="69"/>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69"/>
      <c r="AS337" s="69"/>
      <c r="AT337" s="69"/>
      <c r="AU337" s="69"/>
      <c r="AV337" s="69"/>
      <c r="AW337" s="69"/>
      <c r="AX337" s="69"/>
      <c r="AY337" s="69"/>
      <c r="AZ337" s="69"/>
      <c r="BA337" s="69"/>
      <c r="BB337" s="69"/>
      <c r="BC337" s="69"/>
      <c r="BD337" s="69"/>
      <c r="BE337" s="69"/>
      <c r="BF337" s="69"/>
      <c r="BG337" s="69"/>
      <c r="BH337" s="69"/>
      <c r="BI337" s="69"/>
      <c r="BJ337" s="69"/>
      <c r="BK337" s="69"/>
      <c r="BL337" s="69"/>
      <c r="BM337" s="69"/>
      <c r="BN337" s="69"/>
      <c r="BO337" s="69"/>
      <c r="BP337" s="69"/>
      <c r="BQ337" s="69"/>
      <c r="BR337" s="8"/>
    </row>
    <row r="338" ht="12.0" customHeight="1">
      <c r="A338" s="69"/>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69"/>
      <c r="AS338" s="69"/>
      <c r="AT338" s="69"/>
      <c r="AU338" s="69"/>
      <c r="AV338" s="69"/>
      <c r="AW338" s="69"/>
      <c r="AX338" s="69"/>
      <c r="AY338" s="69"/>
      <c r="AZ338" s="69"/>
      <c r="BA338" s="69"/>
      <c r="BB338" s="69"/>
      <c r="BC338" s="69"/>
      <c r="BD338" s="69"/>
      <c r="BE338" s="69"/>
      <c r="BF338" s="69"/>
      <c r="BG338" s="69"/>
      <c r="BH338" s="69"/>
      <c r="BI338" s="69"/>
      <c r="BJ338" s="69"/>
      <c r="BK338" s="69"/>
      <c r="BL338" s="69"/>
      <c r="BM338" s="69"/>
      <c r="BN338" s="69"/>
      <c r="BO338" s="69"/>
      <c r="BP338" s="69"/>
      <c r="BQ338" s="69"/>
      <c r="BR338" s="8"/>
    </row>
    <row r="339" ht="12.0" customHeight="1">
      <c r="A339" s="69"/>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69"/>
      <c r="AS339" s="69"/>
      <c r="AT339" s="69"/>
      <c r="AU339" s="69"/>
      <c r="AV339" s="69"/>
      <c r="AW339" s="69"/>
      <c r="AX339" s="69"/>
      <c r="AY339" s="69"/>
      <c r="AZ339" s="69"/>
      <c r="BA339" s="69"/>
      <c r="BB339" s="69"/>
      <c r="BC339" s="69"/>
      <c r="BD339" s="69"/>
      <c r="BE339" s="69"/>
      <c r="BF339" s="69"/>
      <c r="BG339" s="69"/>
      <c r="BH339" s="69"/>
      <c r="BI339" s="69"/>
      <c r="BJ339" s="69"/>
      <c r="BK339" s="69"/>
      <c r="BL339" s="69"/>
      <c r="BM339" s="69"/>
      <c r="BN339" s="69"/>
      <c r="BO339" s="69"/>
      <c r="BP339" s="69"/>
      <c r="BQ339" s="69"/>
      <c r="BR339" s="8"/>
    </row>
    <row r="340" ht="12.0" customHeight="1">
      <c r="A340" s="69"/>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69"/>
      <c r="AS340" s="69"/>
      <c r="AT340" s="69"/>
      <c r="AU340" s="69"/>
      <c r="AV340" s="69"/>
      <c r="AW340" s="69"/>
      <c r="AX340" s="69"/>
      <c r="AY340" s="69"/>
      <c r="AZ340" s="69"/>
      <c r="BA340" s="69"/>
      <c r="BB340" s="69"/>
      <c r="BC340" s="69"/>
      <c r="BD340" s="69"/>
      <c r="BE340" s="69"/>
      <c r="BF340" s="69"/>
      <c r="BG340" s="69"/>
      <c r="BH340" s="69"/>
      <c r="BI340" s="69"/>
      <c r="BJ340" s="69"/>
      <c r="BK340" s="69"/>
      <c r="BL340" s="69"/>
      <c r="BM340" s="69"/>
      <c r="BN340" s="69"/>
      <c r="BO340" s="69"/>
      <c r="BP340" s="69"/>
      <c r="BQ340" s="69"/>
      <c r="BR340" s="8"/>
    </row>
    <row r="341" ht="12.0" customHeight="1">
      <c r="A341" s="69"/>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69"/>
      <c r="AS341" s="69"/>
      <c r="AT341" s="69"/>
      <c r="AU341" s="69"/>
      <c r="AV341" s="69"/>
      <c r="AW341" s="69"/>
      <c r="AX341" s="69"/>
      <c r="AY341" s="69"/>
      <c r="AZ341" s="69"/>
      <c r="BA341" s="69"/>
      <c r="BB341" s="69"/>
      <c r="BC341" s="69"/>
      <c r="BD341" s="69"/>
      <c r="BE341" s="69"/>
      <c r="BF341" s="69"/>
      <c r="BG341" s="69"/>
      <c r="BH341" s="69"/>
      <c r="BI341" s="69"/>
      <c r="BJ341" s="69"/>
      <c r="BK341" s="69"/>
      <c r="BL341" s="69"/>
      <c r="BM341" s="69"/>
      <c r="BN341" s="69"/>
      <c r="BO341" s="69"/>
      <c r="BP341" s="69"/>
      <c r="BQ341" s="69"/>
      <c r="BR341" s="8"/>
    </row>
    <row r="342" ht="12.0" customHeight="1">
      <c r="A342" s="69"/>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69"/>
      <c r="AS342" s="69"/>
      <c r="AT342" s="69"/>
      <c r="AU342" s="69"/>
      <c r="AV342" s="69"/>
      <c r="AW342" s="69"/>
      <c r="AX342" s="69"/>
      <c r="AY342" s="69"/>
      <c r="AZ342" s="69"/>
      <c r="BA342" s="69"/>
      <c r="BB342" s="69"/>
      <c r="BC342" s="69"/>
      <c r="BD342" s="69"/>
      <c r="BE342" s="69"/>
      <c r="BF342" s="69"/>
      <c r="BG342" s="69"/>
      <c r="BH342" s="69"/>
      <c r="BI342" s="69"/>
      <c r="BJ342" s="69"/>
      <c r="BK342" s="69"/>
      <c r="BL342" s="69"/>
      <c r="BM342" s="69"/>
      <c r="BN342" s="69"/>
      <c r="BO342" s="69"/>
      <c r="BP342" s="69"/>
      <c r="BQ342" s="69"/>
      <c r="BR342" s="8"/>
    </row>
    <row r="343" ht="12.0" customHeight="1">
      <c r="A343" s="69"/>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69"/>
      <c r="AS343" s="69"/>
      <c r="AT343" s="69"/>
      <c r="AU343" s="69"/>
      <c r="AV343" s="69"/>
      <c r="AW343" s="69"/>
      <c r="AX343" s="69"/>
      <c r="AY343" s="69"/>
      <c r="AZ343" s="69"/>
      <c r="BA343" s="69"/>
      <c r="BB343" s="69"/>
      <c r="BC343" s="69"/>
      <c r="BD343" s="69"/>
      <c r="BE343" s="69"/>
      <c r="BF343" s="69"/>
      <c r="BG343" s="69"/>
      <c r="BH343" s="69"/>
      <c r="BI343" s="69"/>
      <c r="BJ343" s="69"/>
      <c r="BK343" s="69"/>
      <c r="BL343" s="69"/>
      <c r="BM343" s="69"/>
      <c r="BN343" s="69"/>
      <c r="BO343" s="69"/>
      <c r="BP343" s="69"/>
      <c r="BQ343" s="69"/>
      <c r="BR343" s="8"/>
    </row>
    <row r="344" ht="12.0" customHeight="1">
      <c r="A344" s="69"/>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69"/>
      <c r="AS344" s="69"/>
      <c r="AT344" s="69"/>
      <c r="AU344" s="69"/>
      <c r="AV344" s="69"/>
      <c r="AW344" s="69"/>
      <c r="AX344" s="69"/>
      <c r="AY344" s="69"/>
      <c r="AZ344" s="69"/>
      <c r="BA344" s="69"/>
      <c r="BB344" s="69"/>
      <c r="BC344" s="69"/>
      <c r="BD344" s="69"/>
      <c r="BE344" s="69"/>
      <c r="BF344" s="69"/>
      <c r="BG344" s="69"/>
      <c r="BH344" s="69"/>
      <c r="BI344" s="69"/>
      <c r="BJ344" s="69"/>
      <c r="BK344" s="69"/>
      <c r="BL344" s="69"/>
      <c r="BM344" s="69"/>
      <c r="BN344" s="69"/>
      <c r="BO344" s="69"/>
      <c r="BP344" s="69"/>
      <c r="BQ344" s="69"/>
      <c r="BR344" s="8"/>
    </row>
    <row r="345" ht="12.0" customHeight="1">
      <c r="A345" s="69"/>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69"/>
      <c r="AS345" s="69"/>
      <c r="AT345" s="69"/>
      <c r="AU345" s="69"/>
      <c r="AV345" s="69"/>
      <c r="AW345" s="69"/>
      <c r="AX345" s="69"/>
      <c r="AY345" s="69"/>
      <c r="AZ345" s="69"/>
      <c r="BA345" s="69"/>
      <c r="BB345" s="69"/>
      <c r="BC345" s="69"/>
      <c r="BD345" s="69"/>
      <c r="BE345" s="69"/>
      <c r="BF345" s="69"/>
      <c r="BG345" s="69"/>
      <c r="BH345" s="69"/>
      <c r="BI345" s="69"/>
      <c r="BJ345" s="69"/>
      <c r="BK345" s="69"/>
      <c r="BL345" s="69"/>
      <c r="BM345" s="69"/>
      <c r="BN345" s="69"/>
      <c r="BO345" s="69"/>
      <c r="BP345" s="69"/>
      <c r="BQ345" s="69"/>
      <c r="BR345" s="8"/>
    </row>
    <row r="346" ht="12.0" customHeight="1">
      <c r="A346" s="69"/>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69"/>
      <c r="AS346" s="69"/>
      <c r="AT346" s="69"/>
      <c r="AU346" s="69"/>
      <c r="AV346" s="69"/>
      <c r="AW346" s="69"/>
      <c r="AX346" s="69"/>
      <c r="AY346" s="69"/>
      <c r="AZ346" s="69"/>
      <c r="BA346" s="69"/>
      <c r="BB346" s="69"/>
      <c r="BC346" s="69"/>
      <c r="BD346" s="69"/>
      <c r="BE346" s="69"/>
      <c r="BF346" s="69"/>
      <c r="BG346" s="69"/>
      <c r="BH346" s="69"/>
      <c r="BI346" s="69"/>
      <c r="BJ346" s="69"/>
      <c r="BK346" s="69"/>
      <c r="BL346" s="69"/>
      <c r="BM346" s="69"/>
      <c r="BN346" s="69"/>
      <c r="BO346" s="69"/>
      <c r="BP346" s="69"/>
      <c r="BQ346" s="69"/>
      <c r="BR346" s="8"/>
    </row>
    <row r="347" ht="12.0" customHeight="1">
      <c r="A347" s="69"/>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69"/>
      <c r="AS347" s="69"/>
      <c r="AT347" s="69"/>
      <c r="AU347" s="69"/>
      <c r="AV347" s="69"/>
      <c r="AW347" s="69"/>
      <c r="AX347" s="69"/>
      <c r="AY347" s="69"/>
      <c r="AZ347" s="69"/>
      <c r="BA347" s="69"/>
      <c r="BB347" s="69"/>
      <c r="BC347" s="69"/>
      <c r="BD347" s="69"/>
      <c r="BE347" s="69"/>
      <c r="BF347" s="69"/>
      <c r="BG347" s="69"/>
      <c r="BH347" s="69"/>
      <c r="BI347" s="69"/>
      <c r="BJ347" s="69"/>
      <c r="BK347" s="69"/>
      <c r="BL347" s="69"/>
      <c r="BM347" s="69"/>
      <c r="BN347" s="69"/>
      <c r="BO347" s="69"/>
      <c r="BP347" s="69"/>
      <c r="BQ347" s="69"/>
      <c r="BR347" s="8"/>
    </row>
    <row r="348" ht="12.0" customHeight="1">
      <c r="A348" s="69"/>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69"/>
      <c r="AS348" s="69"/>
      <c r="AT348" s="69"/>
      <c r="AU348" s="69"/>
      <c r="AV348" s="69"/>
      <c r="AW348" s="69"/>
      <c r="AX348" s="69"/>
      <c r="AY348" s="69"/>
      <c r="AZ348" s="69"/>
      <c r="BA348" s="69"/>
      <c r="BB348" s="69"/>
      <c r="BC348" s="69"/>
      <c r="BD348" s="69"/>
      <c r="BE348" s="69"/>
      <c r="BF348" s="69"/>
      <c r="BG348" s="69"/>
      <c r="BH348" s="69"/>
      <c r="BI348" s="69"/>
      <c r="BJ348" s="69"/>
      <c r="BK348" s="69"/>
      <c r="BL348" s="69"/>
      <c r="BM348" s="69"/>
      <c r="BN348" s="69"/>
      <c r="BO348" s="69"/>
      <c r="BP348" s="69"/>
      <c r="BQ348" s="69"/>
      <c r="BR348" s="8"/>
    </row>
    <row r="349" ht="12.0" customHeight="1">
      <c r="A349" s="69"/>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69"/>
      <c r="AS349" s="69"/>
      <c r="AT349" s="69"/>
      <c r="AU349" s="69"/>
      <c r="AV349" s="69"/>
      <c r="AW349" s="69"/>
      <c r="AX349" s="69"/>
      <c r="AY349" s="69"/>
      <c r="AZ349" s="69"/>
      <c r="BA349" s="69"/>
      <c r="BB349" s="69"/>
      <c r="BC349" s="69"/>
      <c r="BD349" s="69"/>
      <c r="BE349" s="69"/>
      <c r="BF349" s="69"/>
      <c r="BG349" s="69"/>
      <c r="BH349" s="69"/>
      <c r="BI349" s="69"/>
      <c r="BJ349" s="69"/>
      <c r="BK349" s="69"/>
      <c r="BL349" s="69"/>
      <c r="BM349" s="69"/>
      <c r="BN349" s="69"/>
      <c r="BO349" s="69"/>
      <c r="BP349" s="69"/>
      <c r="BQ349" s="69"/>
      <c r="BR349" s="8"/>
    </row>
    <row r="350" ht="12.0" customHeight="1">
      <c r="A350" s="69"/>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69"/>
      <c r="AS350" s="69"/>
      <c r="AT350" s="69"/>
      <c r="AU350" s="69"/>
      <c r="AV350" s="69"/>
      <c r="AW350" s="69"/>
      <c r="AX350" s="69"/>
      <c r="AY350" s="69"/>
      <c r="AZ350" s="69"/>
      <c r="BA350" s="69"/>
      <c r="BB350" s="69"/>
      <c r="BC350" s="69"/>
      <c r="BD350" s="69"/>
      <c r="BE350" s="69"/>
      <c r="BF350" s="69"/>
      <c r="BG350" s="69"/>
      <c r="BH350" s="69"/>
      <c r="BI350" s="69"/>
      <c r="BJ350" s="69"/>
      <c r="BK350" s="69"/>
      <c r="BL350" s="69"/>
      <c r="BM350" s="69"/>
      <c r="BN350" s="69"/>
      <c r="BO350" s="69"/>
      <c r="BP350" s="69"/>
      <c r="BQ350" s="69"/>
      <c r="BR350" s="8"/>
    </row>
    <row r="351" ht="12.0" customHeight="1">
      <c r="A351" s="69"/>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69"/>
      <c r="AS351" s="69"/>
      <c r="AT351" s="69"/>
      <c r="AU351" s="69"/>
      <c r="AV351" s="69"/>
      <c r="AW351" s="69"/>
      <c r="AX351" s="69"/>
      <c r="AY351" s="69"/>
      <c r="AZ351" s="69"/>
      <c r="BA351" s="69"/>
      <c r="BB351" s="69"/>
      <c r="BC351" s="69"/>
      <c r="BD351" s="69"/>
      <c r="BE351" s="69"/>
      <c r="BF351" s="69"/>
      <c r="BG351" s="69"/>
      <c r="BH351" s="69"/>
      <c r="BI351" s="69"/>
      <c r="BJ351" s="69"/>
      <c r="BK351" s="69"/>
      <c r="BL351" s="69"/>
      <c r="BM351" s="69"/>
      <c r="BN351" s="69"/>
      <c r="BO351" s="69"/>
      <c r="BP351" s="69"/>
      <c r="BQ351" s="69"/>
      <c r="BR351" s="8"/>
    </row>
    <row r="352" ht="12.0" customHeight="1">
      <c r="A352" s="69"/>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69"/>
      <c r="AS352" s="69"/>
      <c r="AT352" s="69"/>
      <c r="AU352" s="69"/>
      <c r="AV352" s="69"/>
      <c r="AW352" s="69"/>
      <c r="AX352" s="69"/>
      <c r="AY352" s="69"/>
      <c r="AZ352" s="69"/>
      <c r="BA352" s="69"/>
      <c r="BB352" s="69"/>
      <c r="BC352" s="69"/>
      <c r="BD352" s="69"/>
      <c r="BE352" s="69"/>
      <c r="BF352" s="69"/>
      <c r="BG352" s="69"/>
      <c r="BH352" s="69"/>
      <c r="BI352" s="69"/>
      <c r="BJ352" s="69"/>
      <c r="BK352" s="69"/>
      <c r="BL352" s="69"/>
      <c r="BM352" s="69"/>
      <c r="BN352" s="69"/>
      <c r="BO352" s="69"/>
      <c r="BP352" s="69"/>
      <c r="BQ352" s="69"/>
      <c r="BR352" s="8"/>
    </row>
    <row r="353" ht="12.0" customHeight="1">
      <c r="A353" s="69"/>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69"/>
      <c r="AS353" s="69"/>
      <c r="AT353" s="69"/>
      <c r="AU353" s="69"/>
      <c r="AV353" s="69"/>
      <c r="AW353" s="69"/>
      <c r="AX353" s="69"/>
      <c r="AY353" s="69"/>
      <c r="AZ353" s="69"/>
      <c r="BA353" s="69"/>
      <c r="BB353" s="69"/>
      <c r="BC353" s="69"/>
      <c r="BD353" s="69"/>
      <c r="BE353" s="69"/>
      <c r="BF353" s="69"/>
      <c r="BG353" s="69"/>
      <c r="BH353" s="69"/>
      <c r="BI353" s="69"/>
      <c r="BJ353" s="69"/>
      <c r="BK353" s="69"/>
      <c r="BL353" s="69"/>
      <c r="BM353" s="69"/>
      <c r="BN353" s="69"/>
      <c r="BO353" s="69"/>
      <c r="BP353" s="69"/>
      <c r="BQ353" s="69"/>
      <c r="BR353" s="8"/>
    </row>
    <row r="354" ht="12.0" customHeight="1">
      <c r="A354" s="69"/>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69"/>
      <c r="AS354" s="69"/>
      <c r="AT354" s="69"/>
      <c r="AU354" s="69"/>
      <c r="AV354" s="69"/>
      <c r="AW354" s="69"/>
      <c r="AX354" s="69"/>
      <c r="AY354" s="69"/>
      <c r="AZ354" s="69"/>
      <c r="BA354" s="69"/>
      <c r="BB354" s="69"/>
      <c r="BC354" s="69"/>
      <c r="BD354" s="69"/>
      <c r="BE354" s="69"/>
      <c r="BF354" s="69"/>
      <c r="BG354" s="69"/>
      <c r="BH354" s="69"/>
      <c r="BI354" s="69"/>
      <c r="BJ354" s="69"/>
      <c r="BK354" s="69"/>
      <c r="BL354" s="69"/>
      <c r="BM354" s="69"/>
      <c r="BN354" s="69"/>
      <c r="BO354" s="69"/>
      <c r="BP354" s="69"/>
      <c r="BQ354" s="69"/>
      <c r="BR354" s="8"/>
    </row>
    <row r="355" ht="12.0" customHeight="1">
      <c r="A355" s="69"/>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69"/>
      <c r="AS355" s="69"/>
      <c r="AT355" s="69"/>
      <c r="AU355" s="69"/>
      <c r="AV355" s="69"/>
      <c r="AW355" s="69"/>
      <c r="AX355" s="69"/>
      <c r="AY355" s="69"/>
      <c r="AZ355" s="69"/>
      <c r="BA355" s="69"/>
      <c r="BB355" s="69"/>
      <c r="BC355" s="69"/>
      <c r="BD355" s="69"/>
      <c r="BE355" s="69"/>
      <c r="BF355" s="69"/>
      <c r="BG355" s="69"/>
      <c r="BH355" s="69"/>
      <c r="BI355" s="69"/>
      <c r="BJ355" s="69"/>
      <c r="BK355" s="69"/>
      <c r="BL355" s="69"/>
      <c r="BM355" s="69"/>
      <c r="BN355" s="69"/>
      <c r="BO355" s="69"/>
      <c r="BP355" s="69"/>
      <c r="BQ355" s="69"/>
      <c r="BR355" s="8"/>
    </row>
    <row r="356" ht="12.0" customHeight="1">
      <c r="A356" s="69"/>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69"/>
      <c r="AS356" s="69"/>
      <c r="AT356" s="69"/>
      <c r="AU356" s="69"/>
      <c r="AV356" s="69"/>
      <c r="AW356" s="69"/>
      <c r="AX356" s="69"/>
      <c r="AY356" s="69"/>
      <c r="AZ356" s="69"/>
      <c r="BA356" s="69"/>
      <c r="BB356" s="69"/>
      <c r="BC356" s="69"/>
      <c r="BD356" s="69"/>
      <c r="BE356" s="69"/>
      <c r="BF356" s="69"/>
      <c r="BG356" s="69"/>
      <c r="BH356" s="69"/>
      <c r="BI356" s="69"/>
      <c r="BJ356" s="69"/>
      <c r="BK356" s="69"/>
      <c r="BL356" s="69"/>
      <c r="BM356" s="69"/>
      <c r="BN356" s="69"/>
      <c r="BO356" s="69"/>
      <c r="BP356" s="69"/>
      <c r="BQ356" s="69"/>
      <c r="BR356" s="8"/>
    </row>
    <row r="357" ht="12.0" customHeight="1">
      <c r="A357" s="69"/>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69"/>
      <c r="AS357" s="69"/>
      <c r="AT357" s="69"/>
      <c r="AU357" s="69"/>
      <c r="AV357" s="69"/>
      <c r="AW357" s="69"/>
      <c r="AX357" s="69"/>
      <c r="AY357" s="69"/>
      <c r="AZ357" s="69"/>
      <c r="BA357" s="69"/>
      <c r="BB357" s="69"/>
      <c r="BC357" s="69"/>
      <c r="BD357" s="69"/>
      <c r="BE357" s="69"/>
      <c r="BF357" s="69"/>
      <c r="BG357" s="69"/>
      <c r="BH357" s="69"/>
      <c r="BI357" s="69"/>
      <c r="BJ357" s="69"/>
      <c r="BK357" s="69"/>
      <c r="BL357" s="69"/>
      <c r="BM357" s="69"/>
      <c r="BN357" s="69"/>
      <c r="BO357" s="69"/>
      <c r="BP357" s="69"/>
      <c r="BQ357" s="69"/>
      <c r="BR357" s="8"/>
    </row>
    <row r="358" ht="12.0" customHeight="1">
      <c r="A358" s="69"/>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69"/>
      <c r="AS358" s="69"/>
      <c r="AT358" s="69"/>
      <c r="AU358" s="69"/>
      <c r="AV358" s="69"/>
      <c r="AW358" s="69"/>
      <c r="AX358" s="69"/>
      <c r="AY358" s="69"/>
      <c r="AZ358" s="69"/>
      <c r="BA358" s="69"/>
      <c r="BB358" s="69"/>
      <c r="BC358" s="69"/>
      <c r="BD358" s="69"/>
      <c r="BE358" s="69"/>
      <c r="BF358" s="69"/>
      <c r="BG358" s="69"/>
      <c r="BH358" s="69"/>
      <c r="BI358" s="69"/>
      <c r="BJ358" s="69"/>
      <c r="BK358" s="69"/>
      <c r="BL358" s="69"/>
      <c r="BM358" s="69"/>
      <c r="BN358" s="69"/>
      <c r="BO358" s="69"/>
      <c r="BP358" s="69"/>
      <c r="BQ358" s="69"/>
      <c r="BR358" s="8"/>
    </row>
    <row r="359" ht="12.0" customHeight="1">
      <c r="A359" s="69"/>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69"/>
      <c r="AS359" s="69"/>
      <c r="AT359" s="69"/>
      <c r="AU359" s="69"/>
      <c r="AV359" s="69"/>
      <c r="AW359" s="69"/>
      <c r="AX359" s="69"/>
      <c r="AY359" s="69"/>
      <c r="AZ359" s="69"/>
      <c r="BA359" s="69"/>
      <c r="BB359" s="69"/>
      <c r="BC359" s="69"/>
      <c r="BD359" s="69"/>
      <c r="BE359" s="69"/>
      <c r="BF359" s="69"/>
      <c r="BG359" s="69"/>
      <c r="BH359" s="69"/>
      <c r="BI359" s="69"/>
      <c r="BJ359" s="69"/>
      <c r="BK359" s="69"/>
      <c r="BL359" s="69"/>
      <c r="BM359" s="69"/>
      <c r="BN359" s="69"/>
      <c r="BO359" s="69"/>
      <c r="BP359" s="69"/>
      <c r="BQ359" s="69"/>
      <c r="BR359" s="8"/>
    </row>
    <row r="360" ht="12.0" customHeight="1">
      <c r="A360" s="69"/>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69"/>
      <c r="AS360" s="69"/>
      <c r="AT360" s="69"/>
      <c r="AU360" s="69"/>
      <c r="AV360" s="69"/>
      <c r="AW360" s="69"/>
      <c r="AX360" s="69"/>
      <c r="AY360" s="69"/>
      <c r="AZ360" s="69"/>
      <c r="BA360" s="69"/>
      <c r="BB360" s="69"/>
      <c r="BC360" s="69"/>
      <c r="BD360" s="69"/>
      <c r="BE360" s="69"/>
      <c r="BF360" s="69"/>
      <c r="BG360" s="69"/>
      <c r="BH360" s="69"/>
      <c r="BI360" s="69"/>
      <c r="BJ360" s="69"/>
      <c r="BK360" s="69"/>
      <c r="BL360" s="69"/>
      <c r="BM360" s="69"/>
      <c r="BN360" s="69"/>
      <c r="BO360" s="69"/>
      <c r="BP360" s="69"/>
      <c r="BQ360" s="69"/>
      <c r="BR360" s="8"/>
    </row>
    <row r="361" ht="12.0" customHeight="1">
      <c r="A361" s="69"/>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69"/>
      <c r="AS361" s="69"/>
      <c r="AT361" s="69"/>
      <c r="AU361" s="69"/>
      <c r="AV361" s="69"/>
      <c r="AW361" s="69"/>
      <c r="AX361" s="69"/>
      <c r="AY361" s="69"/>
      <c r="AZ361" s="69"/>
      <c r="BA361" s="69"/>
      <c r="BB361" s="69"/>
      <c r="BC361" s="69"/>
      <c r="BD361" s="69"/>
      <c r="BE361" s="69"/>
      <c r="BF361" s="69"/>
      <c r="BG361" s="69"/>
      <c r="BH361" s="69"/>
      <c r="BI361" s="69"/>
      <c r="BJ361" s="69"/>
      <c r="BK361" s="69"/>
      <c r="BL361" s="69"/>
      <c r="BM361" s="69"/>
      <c r="BN361" s="69"/>
      <c r="BO361" s="69"/>
      <c r="BP361" s="69"/>
      <c r="BQ361" s="69"/>
      <c r="BR361" s="8"/>
    </row>
    <row r="362" ht="12.0" customHeight="1">
      <c r="A362" s="69"/>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69"/>
      <c r="AS362" s="69"/>
      <c r="AT362" s="69"/>
      <c r="AU362" s="69"/>
      <c r="AV362" s="69"/>
      <c r="AW362" s="69"/>
      <c r="AX362" s="69"/>
      <c r="AY362" s="69"/>
      <c r="AZ362" s="69"/>
      <c r="BA362" s="69"/>
      <c r="BB362" s="69"/>
      <c r="BC362" s="69"/>
      <c r="BD362" s="69"/>
      <c r="BE362" s="69"/>
      <c r="BF362" s="69"/>
      <c r="BG362" s="69"/>
      <c r="BH362" s="69"/>
      <c r="BI362" s="69"/>
      <c r="BJ362" s="69"/>
      <c r="BK362" s="69"/>
      <c r="BL362" s="69"/>
      <c r="BM362" s="69"/>
      <c r="BN362" s="69"/>
      <c r="BO362" s="69"/>
      <c r="BP362" s="69"/>
      <c r="BQ362" s="69"/>
      <c r="BR362" s="8"/>
    </row>
    <row r="363" ht="12.0" customHeight="1">
      <c r="A363" s="69"/>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69"/>
      <c r="AS363" s="69"/>
      <c r="AT363" s="69"/>
      <c r="AU363" s="69"/>
      <c r="AV363" s="69"/>
      <c r="AW363" s="69"/>
      <c r="AX363" s="69"/>
      <c r="AY363" s="69"/>
      <c r="AZ363" s="69"/>
      <c r="BA363" s="69"/>
      <c r="BB363" s="69"/>
      <c r="BC363" s="69"/>
      <c r="BD363" s="69"/>
      <c r="BE363" s="69"/>
      <c r="BF363" s="69"/>
      <c r="BG363" s="69"/>
      <c r="BH363" s="69"/>
      <c r="BI363" s="69"/>
      <c r="BJ363" s="69"/>
      <c r="BK363" s="69"/>
      <c r="BL363" s="69"/>
      <c r="BM363" s="69"/>
      <c r="BN363" s="69"/>
      <c r="BO363" s="69"/>
      <c r="BP363" s="69"/>
      <c r="BQ363" s="69"/>
      <c r="BR363" s="8"/>
    </row>
    <row r="364" ht="12.0" customHeight="1">
      <c r="A364" s="69"/>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69"/>
      <c r="AS364" s="69"/>
      <c r="AT364" s="69"/>
      <c r="AU364" s="69"/>
      <c r="AV364" s="69"/>
      <c r="AW364" s="69"/>
      <c r="AX364" s="69"/>
      <c r="AY364" s="69"/>
      <c r="AZ364" s="69"/>
      <c r="BA364" s="69"/>
      <c r="BB364" s="69"/>
      <c r="BC364" s="69"/>
      <c r="BD364" s="69"/>
      <c r="BE364" s="69"/>
      <c r="BF364" s="69"/>
      <c r="BG364" s="69"/>
      <c r="BH364" s="69"/>
      <c r="BI364" s="69"/>
      <c r="BJ364" s="69"/>
      <c r="BK364" s="69"/>
      <c r="BL364" s="69"/>
      <c r="BM364" s="69"/>
      <c r="BN364" s="69"/>
      <c r="BO364" s="69"/>
      <c r="BP364" s="69"/>
      <c r="BQ364" s="69"/>
      <c r="BR364" s="8"/>
    </row>
    <row r="365" ht="12.0" customHeight="1">
      <c r="A365" s="69"/>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69"/>
      <c r="AS365" s="69"/>
      <c r="AT365" s="69"/>
      <c r="AU365" s="69"/>
      <c r="AV365" s="69"/>
      <c r="AW365" s="69"/>
      <c r="AX365" s="69"/>
      <c r="AY365" s="69"/>
      <c r="AZ365" s="69"/>
      <c r="BA365" s="69"/>
      <c r="BB365" s="69"/>
      <c r="BC365" s="69"/>
      <c r="BD365" s="69"/>
      <c r="BE365" s="69"/>
      <c r="BF365" s="69"/>
      <c r="BG365" s="69"/>
      <c r="BH365" s="69"/>
      <c r="BI365" s="69"/>
      <c r="BJ365" s="69"/>
      <c r="BK365" s="69"/>
      <c r="BL365" s="69"/>
      <c r="BM365" s="69"/>
      <c r="BN365" s="69"/>
      <c r="BO365" s="69"/>
      <c r="BP365" s="69"/>
      <c r="BQ365" s="69"/>
      <c r="BR365" s="8"/>
    </row>
    <row r="366" ht="12.0" customHeight="1">
      <c r="A366" s="69"/>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69"/>
      <c r="AS366" s="69"/>
      <c r="AT366" s="69"/>
      <c r="AU366" s="69"/>
      <c r="AV366" s="69"/>
      <c r="AW366" s="69"/>
      <c r="AX366" s="69"/>
      <c r="AY366" s="69"/>
      <c r="AZ366" s="69"/>
      <c r="BA366" s="69"/>
      <c r="BB366" s="69"/>
      <c r="BC366" s="69"/>
      <c r="BD366" s="69"/>
      <c r="BE366" s="69"/>
      <c r="BF366" s="69"/>
      <c r="BG366" s="69"/>
      <c r="BH366" s="69"/>
      <c r="BI366" s="69"/>
      <c r="BJ366" s="69"/>
      <c r="BK366" s="69"/>
      <c r="BL366" s="69"/>
      <c r="BM366" s="69"/>
      <c r="BN366" s="69"/>
      <c r="BO366" s="69"/>
      <c r="BP366" s="69"/>
      <c r="BQ366" s="69"/>
      <c r="BR366" s="8"/>
    </row>
    <row r="367" ht="12.0" customHeight="1">
      <c r="A367" s="69"/>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69"/>
      <c r="AS367" s="69"/>
      <c r="AT367" s="69"/>
      <c r="AU367" s="69"/>
      <c r="AV367" s="69"/>
      <c r="AW367" s="69"/>
      <c r="AX367" s="69"/>
      <c r="AY367" s="69"/>
      <c r="AZ367" s="69"/>
      <c r="BA367" s="69"/>
      <c r="BB367" s="69"/>
      <c r="BC367" s="69"/>
      <c r="BD367" s="69"/>
      <c r="BE367" s="69"/>
      <c r="BF367" s="69"/>
      <c r="BG367" s="69"/>
      <c r="BH367" s="69"/>
      <c r="BI367" s="69"/>
      <c r="BJ367" s="69"/>
      <c r="BK367" s="69"/>
      <c r="BL367" s="69"/>
      <c r="BM367" s="69"/>
      <c r="BN367" s="69"/>
      <c r="BO367" s="69"/>
      <c r="BP367" s="69"/>
      <c r="BQ367" s="69"/>
      <c r="BR367" s="8"/>
    </row>
    <row r="368" ht="12.0" customHeight="1">
      <c r="A368" s="69"/>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69"/>
      <c r="AS368" s="69"/>
      <c r="AT368" s="69"/>
      <c r="AU368" s="69"/>
      <c r="AV368" s="69"/>
      <c r="AW368" s="69"/>
      <c r="AX368" s="69"/>
      <c r="AY368" s="69"/>
      <c r="AZ368" s="69"/>
      <c r="BA368" s="69"/>
      <c r="BB368" s="69"/>
      <c r="BC368" s="69"/>
      <c r="BD368" s="69"/>
      <c r="BE368" s="69"/>
      <c r="BF368" s="69"/>
      <c r="BG368" s="69"/>
      <c r="BH368" s="69"/>
      <c r="BI368" s="69"/>
      <c r="BJ368" s="69"/>
      <c r="BK368" s="69"/>
      <c r="BL368" s="69"/>
      <c r="BM368" s="69"/>
      <c r="BN368" s="69"/>
      <c r="BO368" s="69"/>
      <c r="BP368" s="69"/>
      <c r="BQ368" s="69"/>
      <c r="BR368" s="8"/>
    </row>
    <row r="369" ht="12.0" customHeight="1">
      <c r="A369" s="69"/>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69"/>
      <c r="AS369" s="69"/>
      <c r="AT369" s="69"/>
      <c r="AU369" s="69"/>
      <c r="AV369" s="69"/>
      <c r="AW369" s="69"/>
      <c r="AX369" s="69"/>
      <c r="AY369" s="69"/>
      <c r="AZ369" s="69"/>
      <c r="BA369" s="69"/>
      <c r="BB369" s="69"/>
      <c r="BC369" s="69"/>
      <c r="BD369" s="69"/>
      <c r="BE369" s="69"/>
      <c r="BF369" s="69"/>
      <c r="BG369" s="69"/>
      <c r="BH369" s="69"/>
      <c r="BI369" s="69"/>
      <c r="BJ369" s="69"/>
      <c r="BK369" s="69"/>
      <c r="BL369" s="69"/>
      <c r="BM369" s="69"/>
      <c r="BN369" s="69"/>
      <c r="BO369" s="69"/>
      <c r="BP369" s="69"/>
      <c r="BQ369" s="69"/>
      <c r="BR369" s="8"/>
    </row>
    <row r="370" ht="12.0" customHeight="1">
      <c r="A370" s="69"/>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69"/>
      <c r="AS370" s="69"/>
      <c r="AT370" s="69"/>
      <c r="AU370" s="69"/>
      <c r="AV370" s="69"/>
      <c r="AW370" s="69"/>
      <c r="AX370" s="69"/>
      <c r="AY370" s="69"/>
      <c r="AZ370" s="69"/>
      <c r="BA370" s="69"/>
      <c r="BB370" s="69"/>
      <c r="BC370" s="69"/>
      <c r="BD370" s="69"/>
      <c r="BE370" s="69"/>
      <c r="BF370" s="69"/>
      <c r="BG370" s="69"/>
      <c r="BH370" s="69"/>
      <c r="BI370" s="69"/>
      <c r="BJ370" s="69"/>
      <c r="BK370" s="69"/>
      <c r="BL370" s="69"/>
      <c r="BM370" s="69"/>
      <c r="BN370" s="69"/>
      <c r="BO370" s="69"/>
      <c r="BP370" s="69"/>
      <c r="BQ370" s="69"/>
      <c r="BR370" s="8"/>
    </row>
    <row r="371" ht="12.0" customHeight="1">
      <c r="A371" s="69"/>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69"/>
      <c r="AS371" s="69"/>
      <c r="AT371" s="69"/>
      <c r="AU371" s="69"/>
      <c r="AV371" s="69"/>
      <c r="AW371" s="69"/>
      <c r="AX371" s="69"/>
      <c r="AY371" s="69"/>
      <c r="AZ371" s="69"/>
      <c r="BA371" s="69"/>
      <c r="BB371" s="69"/>
      <c r="BC371" s="69"/>
      <c r="BD371" s="69"/>
      <c r="BE371" s="69"/>
      <c r="BF371" s="69"/>
      <c r="BG371" s="69"/>
      <c r="BH371" s="69"/>
      <c r="BI371" s="69"/>
      <c r="BJ371" s="69"/>
      <c r="BK371" s="69"/>
      <c r="BL371" s="69"/>
      <c r="BM371" s="69"/>
      <c r="BN371" s="69"/>
      <c r="BO371" s="69"/>
      <c r="BP371" s="69"/>
      <c r="BQ371" s="69"/>
      <c r="BR371" s="8"/>
    </row>
    <row r="372" ht="12.0" customHeight="1">
      <c r="A372" s="69"/>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69"/>
      <c r="AS372" s="69"/>
      <c r="AT372" s="69"/>
      <c r="AU372" s="69"/>
      <c r="AV372" s="69"/>
      <c r="AW372" s="69"/>
      <c r="AX372" s="69"/>
      <c r="AY372" s="69"/>
      <c r="AZ372" s="69"/>
      <c r="BA372" s="69"/>
      <c r="BB372" s="69"/>
      <c r="BC372" s="69"/>
      <c r="BD372" s="69"/>
      <c r="BE372" s="69"/>
      <c r="BF372" s="69"/>
      <c r="BG372" s="69"/>
      <c r="BH372" s="69"/>
      <c r="BI372" s="69"/>
      <c r="BJ372" s="69"/>
      <c r="BK372" s="69"/>
      <c r="BL372" s="69"/>
      <c r="BM372" s="69"/>
      <c r="BN372" s="69"/>
      <c r="BO372" s="69"/>
      <c r="BP372" s="69"/>
      <c r="BQ372" s="69"/>
      <c r="BR372" s="8"/>
    </row>
    <row r="373" ht="12.0" customHeight="1">
      <c r="A373" s="69"/>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69"/>
      <c r="AS373" s="69"/>
      <c r="AT373" s="69"/>
      <c r="AU373" s="69"/>
      <c r="AV373" s="69"/>
      <c r="AW373" s="69"/>
      <c r="AX373" s="69"/>
      <c r="AY373" s="69"/>
      <c r="AZ373" s="69"/>
      <c r="BA373" s="69"/>
      <c r="BB373" s="69"/>
      <c r="BC373" s="69"/>
      <c r="BD373" s="69"/>
      <c r="BE373" s="69"/>
      <c r="BF373" s="69"/>
      <c r="BG373" s="69"/>
      <c r="BH373" s="69"/>
      <c r="BI373" s="69"/>
      <c r="BJ373" s="69"/>
      <c r="BK373" s="69"/>
      <c r="BL373" s="69"/>
      <c r="BM373" s="69"/>
      <c r="BN373" s="69"/>
      <c r="BO373" s="69"/>
      <c r="BP373" s="69"/>
      <c r="BQ373" s="69"/>
      <c r="BR373" s="8"/>
    </row>
    <row r="374" ht="12.0" customHeight="1">
      <c r="A374" s="69"/>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69"/>
      <c r="AS374" s="69"/>
      <c r="AT374" s="69"/>
      <c r="AU374" s="69"/>
      <c r="AV374" s="69"/>
      <c r="AW374" s="69"/>
      <c r="AX374" s="69"/>
      <c r="AY374" s="69"/>
      <c r="AZ374" s="69"/>
      <c r="BA374" s="69"/>
      <c r="BB374" s="69"/>
      <c r="BC374" s="69"/>
      <c r="BD374" s="69"/>
      <c r="BE374" s="69"/>
      <c r="BF374" s="69"/>
      <c r="BG374" s="69"/>
      <c r="BH374" s="69"/>
      <c r="BI374" s="69"/>
      <c r="BJ374" s="69"/>
      <c r="BK374" s="69"/>
      <c r="BL374" s="69"/>
      <c r="BM374" s="69"/>
      <c r="BN374" s="69"/>
      <c r="BO374" s="69"/>
      <c r="BP374" s="69"/>
      <c r="BQ374" s="69"/>
      <c r="BR374" s="8"/>
    </row>
    <row r="375" ht="12.0" customHeight="1">
      <c r="A375" s="69"/>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69"/>
      <c r="AS375" s="69"/>
      <c r="AT375" s="69"/>
      <c r="AU375" s="69"/>
      <c r="AV375" s="69"/>
      <c r="AW375" s="69"/>
      <c r="AX375" s="69"/>
      <c r="AY375" s="69"/>
      <c r="AZ375" s="69"/>
      <c r="BA375" s="69"/>
      <c r="BB375" s="69"/>
      <c r="BC375" s="69"/>
      <c r="BD375" s="69"/>
      <c r="BE375" s="69"/>
      <c r="BF375" s="69"/>
      <c r="BG375" s="69"/>
      <c r="BH375" s="69"/>
      <c r="BI375" s="69"/>
      <c r="BJ375" s="69"/>
      <c r="BK375" s="69"/>
      <c r="BL375" s="69"/>
      <c r="BM375" s="69"/>
      <c r="BN375" s="69"/>
      <c r="BO375" s="69"/>
      <c r="BP375" s="69"/>
      <c r="BQ375" s="69"/>
      <c r="BR375" s="8"/>
    </row>
    <row r="376" ht="12.0" customHeight="1">
      <c r="A376" s="69"/>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69"/>
      <c r="AS376" s="69"/>
      <c r="AT376" s="69"/>
      <c r="AU376" s="69"/>
      <c r="AV376" s="69"/>
      <c r="AW376" s="69"/>
      <c r="AX376" s="69"/>
      <c r="AY376" s="69"/>
      <c r="AZ376" s="69"/>
      <c r="BA376" s="69"/>
      <c r="BB376" s="69"/>
      <c r="BC376" s="69"/>
      <c r="BD376" s="69"/>
      <c r="BE376" s="69"/>
      <c r="BF376" s="69"/>
      <c r="BG376" s="69"/>
      <c r="BH376" s="69"/>
      <c r="BI376" s="69"/>
      <c r="BJ376" s="69"/>
      <c r="BK376" s="69"/>
      <c r="BL376" s="69"/>
      <c r="BM376" s="69"/>
      <c r="BN376" s="69"/>
      <c r="BO376" s="69"/>
      <c r="BP376" s="69"/>
      <c r="BQ376" s="69"/>
      <c r="BR376" s="8"/>
    </row>
    <row r="377" ht="12.0" customHeight="1">
      <c r="A377" s="69"/>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69"/>
      <c r="AS377" s="69"/>
      <c r="AT377" s="69"/>
      <c r="AU377" s="69"/>
      <c r="AV377" s="69"/>
      <c r="AW377" s="69"/>
      <c r="AX377" s="69"/>
      <c r="AY377" s="69"/>
      <c r="AZ377" s="69"/>
      <c r="BA377" s="69"/>
      <c r="BB377" s="69"/>
      <c r="BC377" s="69"/>
      <c r="BD377" s="69"/>
      <c r="BE377" s="69"/>
      <c r="BF377" s="69"/>
      <c r="BG377" s="69"/>
      <c r="BH377" s="69"/>
      <c r="BI377" s="69"/>
      <c r="BJ377" s="69"/>
      <c r="BK377" s="69"/>
      <c r="BL377" s="69"/>
      <c r="BM377" s="69"/>
      <c r="BN377" s="69"/>
      <c r="BO377" s="69"/>
      <c r="BP377" s="69"/>
      <c r="BQ377" s="69"/>
      <c r="BR377" s="8"/>
    </row>
    <row r="378" ht="12.0" customHeight="1">
      <c r="A378" s="69"/>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69"/>
      <c r="AS378" s="69"/>
      <c r="AT378" s="69"/>
      <c r="AU378" s="69"/>
      <c r="AV378" s="69"/>
      <c r="AW378" s="69"/>
      <c r="AX378" s="69"/>
      <c r="AY378" s="69"/>
      <c r="AZ378" s="69"/>
      <c r="BA378" s="69"/>
      <c r="BB378" s="69"/>
      <c r="BC378" s="69"/>
      <c r="BD378" s="69"/>
      <c r="BE378" s="69"/>
      <c r="BF378" s="69"/>
      <c r="BG378" s="69"/>
      <c r="BH378" s="69"/>
      <c r="BI378" s="69"/>
      <c r="BJ378" s="69"/>
      <c r="BK378" s="69"/>
      <c r="BL378" s="69"/>
      <c r="BM378" s="69"/>
      <c r="BN378" s="69"/>
      <c r="BO378" s="69"/>
      <c r="BP378" s="69"/>
      <c r="BQ378" s="69"/>
      <c r="BR378" s="8"/>
    </row>
    <row r="379" ht="12.0" customHeight="1">
      <c r="A379" s="69"/>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69"/>
      <c r="AS379" s="69"/>
      <c r="AT379" s="69"/>
      <c r="AU379" s="69"/>
      <c r="AV379" s="69"/>
      <c r="AW379" s="69"/>
      <c r="AX379" s="69"/>
      <c r="AY379" s="69"/>
      <c r="AZ379" s="69"/>
      <c r="BA379" s="69"/>
      <c r="BB379" s="69"/>
      <c r="BC379" s="69"/>
      <c r="BD379" s="69"/>
      <c r="BE379" s="69"/>
      <c r="BF379" s="69"/>
      <c r="BG379" s="69"/>
      <c r="BH379" s="69"/>
      <c r="BI379" s="69"/>
      <c r="BJ379" s="69"/>
      <c r="BK379" s="69"/>
      <c r="BL379" s="69"/>
      <c r="BM379" s="69"/>
      <c r="BN379" s="69"/>
      <c r="BO379" s="69"/>
      <c r="BP379" s="69"/>
      <c r="BQ379" s="69"/>
      <c r="BR379" s="8"/>
    </row>
    <row r="380" ht="12.0" customHeight="1">
      <c r="A380" s="69"/>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69"/>
      <c r="AS380" s="69"/>
      <c r="AT380" s="69"/>
      <c r="AU380" s="69"/>
      <c r="AV380" s="69"/>
      <c r="AW380" s="69"/>
      <c r="AX380" s="69"/>
      <c r="AY380" s="69"/>
      <c r="AZ380" s="69"/>
      <c r="BA380" s="69"/>
      <c r="BB380" s="69"/>
      <c r="BC380" s="69"/>
      <c r="BD380" s="69"/>
      <c r="BE380" s="69"/>
      <c r="BF380" s="69"/>
      <c r="BG380" s="69"/>
      <c r="BH380" s="69"/>
      <c r="BI380" s="69"/>
      <c r="BJ380" s="69"/>
      <c r="BK380" s="69"/>
      <c r="BL380" s="69"/>
      <c r="BM380" s="69"/>
      <c r="BN380" s="69"/>
      <c r="BO380" s="69"/>
      <c r="BP380" s="69"/>
      <c r="BQ380" s="69"/>
      <c r="BR380" s="8"/>
    </row>
    <row r="381" ht="12.0" customHeight="1">
      <c r="A381" s="69"/>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69"/>
      <c r="AS381" s="69"/>
      <c r="AT381" s="69"/>
      <c r="AU381" s="69"/>
      <c r="AV381" s="69"/>
      <c r="AW381" s="69"/>
      <c r="AX381" s="69"/>
      <c r="AY381" s="69"/>
      <c r="AZ381" s="69"/>
      <c r="BA381" s="69"/>
      <c r="BB381" s="69"/>
      <c r="BC381" s="69"/>
      <c r="BD381" s="69"/>
      <c r="BE381" s="69"/>
      <c r="BF381" s="69"/>
      <c r="BG381" s="69"/>
      <c r="BH381" s="69"/>
      <c r="BI381" s="69"/>
      <c r="BJ381" s="69"/>
      <c r="BK381" s="69"/>
      <c r="BL381" s="69"/>
      <c r="BM381" s="69"/>
      <c r="BN381" s="69"/>
      <c r="BO381" s="69"/>
      <c r="BP381" s="69"/>
      <c r="BQ381" s="69"/>
      <c r="BR381" s="8"/>
    </row>
    <row r="382" ht="12.0" customHeight="1">
      <c r="A382" s="69"/>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69"/>
      <c r="AS382" s="69"/>
      <c r="AT382" s="69"/>
      <c r="AU382" s="69"/>
      <c r="AV382" s="69"/>
      <c r="AW382" s="69"/>
      <c r="AX382" s="69"/>
      <c r="AY382" s="69"/>
      <c r="AZ382" s="69"/>
      <c r="BA382" s="69"/>
      <c r="BB382" s="69"/>
      <c r="BC382" s="69"/>
      <c r="BD382" s="69"/>
      <c r="BE382" s="69"/>
      <c r="BF382" s="69"/>
      <c r="BG382" s="69"/>
      <c r="BH382" s="69"/>
      <c r="BI382" s="69"/>
      <c r="BJ382" s="69"/>
      <c r="BK382" s="69"/>
      <c r="BL382" s="69"/>
      <c r="BM382" s="69"/>
      <c r="BN382" s="69"/>
      <c r="BO382" s="69"/>
      <c r="BP382" s="69"/>
      <c r="BQ382" s="69"/>
      <c r="BR382" s="8"/>
    </row>
    <row r="383" ht="12.0" customHeight="1">
      <c r="A383" s="69"/>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69"/>
      <c r="AS383" s="69"/>
      <c r="AT383" s="69"/>
      <c r="AU383" s="69"/>
      <c r="AV383" s="69"/>
      <c r="AW383" s="69"/>
      <c r="AX383" s="69"/>
      <c r="AY383" s="69"/>
      <c r="AZ383" s="69"/>
      <c r="BA383" s="69"/>
      <c r="BB383" s="69"/>
      <c r="BC383" s="69"/>
      <c r="BD383" s="69"/>
      <c r="BE383" s="69"/>
      <c r="BF383" s="69"/>
      <c r="BG383" s="69"/>
      <c r="BH383" s="69"/>
      <c r="BI383" s="69"/>
      <c r="BJ383" s="69"/>
      <c r="BK383" s="69"/>
      <c r="BL383" s="69"/>
      <c r="BM383" s="69"/>
      <c r="BN383" s="69"/>
      <c r="BO383" s="69"/>
      <c r="BP383" s="69"/>
      <c r="BQ383" s="69"/>
      <c r="BR383" s="8"/>
    </row>
    <row r="384" ht="12.0" customHeight="1">
      <c r="A384" s="69"/>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69"/>
      <c r="AS384" s="69"/>
      <c r="AT384" s="69"/>
      <c r="AU384" s="69"/>
      <c r="AV384" s="69"/>
      <c r="AW384" s="69"/>
      <c r="AX384" s="69"/>
      <c r="AY384" s="69"/>
      <c r="AZ384" s="69"/>
      <c r="BA384" s="69"/>
      <c r="BB384" s="69"/>
      <c r="BC384" s="69"/>
      <c r="BD384" s="69"/>
      <c r="BE384" s="69"/>
      <c r="BF384" s="69"/>
      <c r="BG384" s="69"/>
      <c r="BH384" s="69"/>
      <c r="BI384" s="69"/>
      <c r="BJ384" s="69"/>
      <c r="BK384" s="69"/>
      <c r="BL384" s="69"/>
      <c r="BM384" s="69"/>
      <c r="BN384" s="69"/>
      <c r="BO384" s="69"/>
      <c r="BP384" s="69"/>
      <c r="BQ384" s="69"/>
      <c r="BR384" s="8"/>
    </row>
    <row r="385" ht="12.0" customHeight="1">
      <c r="A385" s="69"/>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69"/>
      <c r="AS385" s="69"/>
      <c r="AT385" s="69"/>
      <c r="AU385" s="69"/>
      <c r="AV385" s="69"/>
      <c r="AW385" s="69"/>
      <c r="AX385" s="69"/>
      <c r="AY385" s="69"/>
      <c r="AZ385" s="69"/>
      <c r="BA385" s="69"/>
      <c r="BB385" s="69"/>
      <c r="BC385" s="69"/>
      <c r="BD385" s="69"/>
      <c r="BE385" s="69"/>
      <c r="BF385" s="69"/>
      <c r="BG385" s="69"/>
      <c r="BH385" s="69"/>
      <c r="BI385" s="69"/>
      <c r="BJ385" s="69"/>
      <c r="BK385" s="69"/>
      <c r="BL385" s="69"/>
      <c r="BM385" s="69"/>
      <c r="BN385" s="69"/>
      <c r="BO385" s="69"/>
      <c r="BP385" s="69"/>
      <c r="BQ385" s="69"/>
      <c r="BR385" s="8"/>
    </row>
    <row r="386" ht="12.0" customHeight="1">
      <c r="A386" s="69"/>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69"/>
      <c r="AS386" s="69"/>
      <c r="AT386" s="69"/>
      <c r="AU386" s="69"/>
      <c r="AV386" s="69"/>
      <c r="AW386" s="69"/>
      <c r="AX386" s="69"/>
      <c r="AY386" s="69"/>
      <c r="AZ386" s="69"/>
      <c r="BA386" s="69"/>
      <c r="BB386" s="69"/>
      <c r="BC386" s="69"/>
      <c r="BD386" s="69"/>
      <c r="BE386" s="69"/>
      <c r="BF386" s="69"/>
      <c r="BG386" s="69"/>
      <c r="BH386" s="69"/>
      <c r="BI386" s="69"/>
      <c r="BJ386" s="69"/>
      <c r="BK386" s="69"/>
      <c r="BL386" s="69"/>
      <c r="BM386" s="69"/>
      <c r="BN386" s="69"/>
      <c r="BO386" s="69"/>
      <c r="BP386" s="69"/>
      <c r="BQ386" s="69"/>
      <c r="BR386" s="8"/>
    </row>
    <row r="387" ht="12.0" customHeight="1">
      <c r="A387" s="69"/>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69"/>
      <c r="AS387" s="69"/>
      <c r="AT387" s="69"/>
      <c r="AU387" s="69"/>
      <c r="AV387" s="69"/>
      <c r="AW387" s="69"/>
      <c r="AX387" s="69"/>
      <c r="AY387" s="69"/>
      <c r="AZ387" s="69"/>
      <c r="BA387" s="69"/>
      <c r="BB387" s="69"/>
      <c r="BC387" s="69"/>
      <c r="BD387" s="69"/>
      <c r="BE387" s="69"/>
      <c r="BF387" s="69"/>
      <c r="BG387" s="69"/>
      <c r="BH387" s="69"/>
      <c r="BI387" s="69"/>
      <c r="BJ387" s="69"/>
      <c r="BK387" s="69"/>
      <c r="BL387" s="69"/>
      <c r="BM387" s="69"/>
      <c r="BN387" s="69"/>
      <c r="BO387" s="69"/>
      <c r="BP387" s="69"/>
      <c r="BQ387" s="69"/>
      <c r="BR387" s="8"/>
    </row>
    <row r="388" ht="12.0" customHeight="1">
      <c r="A388" s="69"/>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69"/>
      <c r="AS388" s="69"/>
      <c r="AT388" s="69"/>
      <c r="AU388" s="69"/>
      <c r="AV388" s="69"/>
      <c r="AW388" s="69"/>
      <c r="AX388" s="69"/>
      <c r="AY388" s="69"/>
      <c r="AZ388" s="69"/>
      <c r="BA388" s="69"/>
      <c r="BB388" s="69"/>
      <c r="BC388" s="69"/>
      <c r="BD388" s="69"/>
      <c r="BE388" s="69"/>
      <c r="BF388" s="69"/>
      <c r="BG388" s="69"/>
      <c r="BH388" s="69"/>
      <c r="BI388" s="69"/>
      <c r="BJ388" s="69"/>
      <c r="BK388" s="69"/>
      <c r="BL388" s="69"/>
      <c r="BM388" s="69"/>
      <c r="BN388" s="69"/>
      <c r="BO388" s="69"/>
      <c r="BP388" s="69"/>
      <c r="BQ388" s="69"/>
      <c r="BR388" s="8"/>
    </row>
    <row r="389" ht="12.0" customHeight="1">
      <c r="A389" s="69"/>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69"/>
      <c r="AS389" s="69"/>
      <c r="AT389" s="69"/>
      <c r="AU389" s="69"/>
      <c r="AV389" s="69"/>
      <c r="AW389" s="69"/>
      <c r="AX389" s="69"/>
      <c r="AY389" s="69"/>
      <c r="AZ389" s="69"/>
      <c r="BA389" s="69"/>
      <c r="BB389" s="69"/>
      <c r="BC389" s="69"/>
      <c r="BD389" s="69"/>
      <c r="BE389" s="69"/>
      <c r="BF389" s="69"/>
      <c r="BG389" s="69"/>
      <c r="BH389" s="69"/>
      <c r="BI389" s="69"/>
      <c r="BJ389" s="69"/>
      <c r="BK389" s="69"/>
      <c r="BL389" s="69"/>
      <c r="BM389" s="69"/>
      <c r="BN389" s="69"/>
      <c r="BO389" s="69"/>
      <c r="BP389" s="69"/>
      <c r="BQ389" s="69"/>
      <c r="BR389" s="8"/>
    </row>
    <row r="390" ht="12.0" customHeight="1">
      <c r="A390" s="69"/>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69"/>
      <c r="AS390" s="69"/>
      <c r="AT390" s="69"/>
      <c r="AU390" s="69"/>
      <c r="AV390" s="69"/>
      <c r="AW390" s="69"/>
      <c r="AX390" s="69"/>
      <c r="AY390" s="69"/>
      <c r="AZ390" s="69"/>
      <c r="BA390" s="69"/>
      <c r="BB390" s="69"/>
      <c r="BC390" s="69"/>
      <c r="BD390" s="69"/>
      <c r="BE390" s="69"/>
      <c r="BF390" s="69"/>
      <c r="BG390" s="69"/>
      <c r="BH390" s="69"/>
      <c r="BI390" s="69"/>
      <c r="BJ390" s="69"/>
      <c r="BK390" s="69"/>
      <c r="BL390" s="69"/>
      <c r="BM390" s="69"/>
      <c r="BN390" s="69"/>
      <c r="BO390" s="69"/>
      <c r="BP390" s="69"/>
      <c r="BQ390" s="69"/>
      <c r="BR390" s="8"/>
    </row>
    <row r="391" ht="12.0" customHeight="1">
      <c r="A391" s="69"/>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69"/>
      <c r="AS391" s="69"/>
      <c r="AT391" s="69"/>
      <c r="AU391" s="69"/>
      <c r="AV391" s="69"/>
      <c r="AW391" s="69"/>
      <c r="AX391" s="69"/>
      <c r="AY391" s="69"/>
      <c r="AZ391" s="69"/>
      <c r="BA391" s="69"/>
      <c r="BB391" s="69"/>
      <c r="BC391" s="69"/>
      <c r="BD391" s="69"/>
      <c r="BE391" s="69"/>
      <c r="BF391" s="69"/>
      <c r="BG391" s="69"/>
      <c r="BH391" s="69"/>
      <c r="BI391" s="69"/>
      <c r="BJ391" s="69"/>
      <c r="BK391" s="69"/>
      <c r="BL391" s="69"/>
      <c r="BM391" s="69"/>
      <c r="BN391" s="69"/>
      <c r="BO391" s="69"/>
      <c r="BP391" s="69"/>
      <c r="BQ391" s="69"/>
      <c r="BR391" s="8"/>
    </row>
    <row r="392" ht="12.0" customHeight="1">
      <c r="A392" s="69"/>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69"/>
      <c r="AS392" s="69"/>
      <c r="AT392" s="69"/>
      <c r="AU392" s="69"/>
      <c r="AV392" s="69"/>
      <c r="AW392" s="69"/>
      <c r="AX392" s="69"/>
      <c r="AY392" s="69"/>
      <c r="AZ392" s="69"/>
      <c r="BA392" s="69"/>
      <c r="BB392" s="69"/>
      <c r="BC392" s="69"/>
      <c r="BD392" s="69"/>
      <c r="BE392" s="69"/>
      <c r="BF392" s="69"/>
      <c r="BG392" s="69"/>
      <c r="BH392" s="69"/>
      <c r="BI392" s="69"/>
      <c r="BJ392" s="69"/>
      <c r="BK392" s="69"/>
      <c r="BL392" s="69"/>
      <c r="BM392" s="69"/>
      <c r="BN392" s="69"/>
      <c r="BO392" s="69"/>
      <c r="BP392" s="69"/>
      <c r="BQ392" s="69"/>
      <c r="BR392" s="8"/>
    </row>
    <row r="393" ht="12.0" customHeight="1">
      <c r="A393" s="69"/>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69"/>
      <c r="AS393" s="69"/>
      <c r="AT393" s="69"/>
      <c r="AU393" s="69"/>
      <c r="AV393" s="69"/>
      <c r="AW393" s="69"/>
      <c r="AX393" s="69"/>
      <c r="AY393" s="69"/>
      <c r="AZ393" s="69"/>
      <c r="BA393" s="69"/>
      <c r="BB393" s="69"/>
      <c r="BC393" s="69"/>
      <c r="BD393" s="69"/>
      <c r="BE393" s="69"/>
      <c r="BF393" s="69"/>
      <c r="BG393" s="69"/>
      <c r="BH393" s="69"/>
      <c r="BI393" s="69"/>
      <c r="BJ393" s="69"/>
      <c r="BK393" s="69"/>
      <c r="BL393" s="69"/>
      <c r="BM393" s="69"/>
      <c r="BN393" s="69"/>
      <c r="BO393" s="69"/>
      <c r="BP393" s="69"/>
      <c r="BQ393" s="69"/>
      <c r="BR393" s="8"/>
    </row>
    <row r="394" ht="12.0" customHeight="1">
      <c r="A394" s="69"/>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69"/>
      <c r="AS394" s="69"/>
      <c r="AT394" s="69"/>
      <c r="AU394" s="69"/>
      <c r="AV394" s="69"/>
      <c r="AW394" s="69"/>
      <c r="AX394" s="69"/>
      <c r="AY394" s="69"/>
      <c r="AZ394" s="69"/>
      <c r="BA394" s="69"/>
      <c r="BB394" s="69"/>
      <c r="BC394" s="69"/>
      <c r="BD394" s="69"/>
      <c r="BE394" s="69"/>
      <c r="BF394" s="69"/>
      <c r="BG394" s="69"/>
      <c r="BH394" s="69"/>
      <c r="BI394" s="69"/>
      <c r="BJ394" s="69"/>
      <c r="BK394" s="69"/>
      <c r="BL394" s="69"/>
      <c r="BM394" s="69"/>
      <c r="BN394" s="69"/>
      <c r="BO394" s="69"/>
      <c r="BP394" s="69"/>
      <c r="BQ394" s="69"/>
      <c r="BR394" s="8"/>
    </row>
    <row r="395" ht="12.0" customHeight="1">
      <c r="A395" s="69"/>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69"/>
      <c r="AS395" s="69"/>
      <c r="AT395" s="69"/>
      <c r="AU395" s="69"/>
      <c r="AV395" s="69"/>
      <c r="AW395" s="69"/>
      <c r="AX395" s="69"/>
      <c r="AY395" s="69"/>
      <c r="AZ395" s="69"/>
      <c r="BA395" s="69"/>
      <c r="BB395" s="69"/>
      <c r="BC395" s="69"/>
      <c r="BD395" s="69"/>
      <c r="BE395" s="69"/>
      <c r="BF395" s="69"/>
      <c r="BG395" s="69"/>
      <c r="BH395" s="69"/>
      <c r="BI395" s="69"/>
      <c r="BJ395" s="69"/>
      <c r="BK395" s="69"/>
      <c r="BL395" s="69"/>
      <c r="BM395" s="69"/>
      <c r="BN395" s="69"/>
      <c r="BO395" s="69"/>
      <c r="BP395" s="69"/>
      <c r="BQ395" s="69"/>
      <c r="BR395" s="8"/>
    </row>
    <row r="396" ht="12.0" customHeight="1">
      <c r="A396" s="69"/>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69"/>
      <c r="AS396" s="69"/>
      <c r="AT396" s="69"/>
      <c r="AU396" s="69"/>
      <c r="AV396" s="69"/>
      <c r="AW396" s="69"/>
      <c r="AX396" s="69"/>
      <c r="AY396" s="69"/>
      <c r="AZ396" s="69"/>
      <c r="BA396" s="69"/>
      <c r="BB396" s="69"/>
      <c r="BC396" s="69"/>
      <c r="BD396" s="69"/>
      <c r="BE396" s="69"/>
      <c r="BF396" s="69"/>
      <c r="BG396" s="69"/>
      <c r="BH396" s="69"/>
      <c r="BI396" s="69"/>
      <c r="BJ396" s="69"/>
      <c r="BK396" s="69"/>
      <c r="BL396" s="69"/>
      <c r="BM396" s="69"/>
      <c r="BN396" s="69"/>
      <c r="BO396" s="69"/>
      <c r="BP396" s="69"/>
      <c r="BQ396" s="69"/>
      <c r="BR396" s="8"/>
    </row>
    <row r="397" ht="12.0" customHeight="1">
      <c r="A397" s="69"/>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69"/>
      <c r="AS397" s="69"/>
      <c r="AT397" s="69"/>
      <c r="AU397" s="69"/>
      <c r="AV397" s="69"/>
      <c r="AW397" s="69"/>
      <c r="AX397" s="69"/>
      <c r="AY397" s="69"/>
      <c r="AZ397" s="69"/>
      <c r="BA397" s="69"/>
      <c r="BB397" s="69"/>
      <c r="BC397" s="69"/>
      <c r="BD397" s="69"/>
      <c r="BE397" s="69"/>
      <c r="BF397" s="69"/>
      <c r="BG397" s="69"/>
      <c r="BH397" s="69"/>
      <c r="BI397" s="69"/>
      <c r="BJ397" s="69"/>
      <c r="BK397" s="69"/>
      <c r="BL397" s="69"/>
      <c r="BM397" s="69"/>
      <c r="BN397" s="69"/>
      <c r="BO397" s="69"/>
      <c r="BP397" s="69"/>
      <c r="BQ397" s="69"/>
      <c r="BR397" s="8"/>
    </row>
    <row r="398" ht="12.0" customHeight="1">
      <c r="A398" s="69"/>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69"/>
      <c r="AS398" s="69"/>
      <c r="AT398" s="69"/>
      <c r="AU398" s="69"/>
      <c r="AV398" s="69"/>
      <c r="AW398" s="69"/>
      <c r="AX398" s="69"/>
      <c r="AY398" s="69"/>
      <c r="AZ398" s="69"/>
      <c r="BA398" s="69"/>
      <c r="BB398" s="69"/>
      <c r="BC398" s="69"/>
      <c r="BD398" s="69"/>
      <c r="BE398" s="69"/>
      <c r="BF398" s="69"/>
      <c r="BG398" s="69"/>
      <c r="BH398" s="69"/>
      <c r="BI398" s="69"/>
      <c r="BJ398" s="69"/>
      <c r="BK398" s="69"/>
      <c r="BL398" s="69"/>
      <c r="BM398" s="69"/>
      <c r="BN398" s="69"/>
      <c r="BO398" s="69"/>
      <c r="BP398" s="69"/>
      <c r="BQ398" s="69"/>
      <c r="BR398" s="8"/>
    </row>
    <row r="399" ht="12.0" customHeight="1">
      <c r="A399" s="69"/>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69"/>
      <c r="AS399" s="69"/>
      <c r="AT399" s="69"/>
      <c r="AU399" s="69"/>
      <c r="AV399" s="69"/>
      <c r="AW399" s="69"/>
      <c r="AX399" s="69"/>
      <c r="AY399" s="69"/>
      <c r="AZ399" s="69"/>
      <c r="BA399" s="69"/>
      <c r="BB399" s="69"/>
      <c r="BC399" s="69"/>
      <c r="BD399" s="69"/>
      <c r="BE399" s="69"/>
      <c r="BF399" s="69"/>
      <c r="BG399" s="69"/>
      <c r="BH399" s="69"/>
      <c r="BI399" s="69"/>
      <c r="BJ399" s="69"/>
      <c r="BK399" s="69"/>
      <c r="BL399" s="69"/>
      <c r="BM399" s="69"/>
      <c r="BN399" s="69"/>
      <c r="BO399" s="69"/>
      <c r="BP399" s="69"/>
      <c r="BQ399" s="69"/>
      <c r="BR399" s="8"/>
    </row>
    <row r="400" ht="12.0" customHeight="1">
      <c r="A400" s="69"/>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69"/>
      <c r="AS400" s="69"/>
      <c r="AT400" s="69"/>
      <c r="AU400" s="69"/>
      <c r="AV400" s="69"/>
      <c r="AW400" s="69"/>
      <c r="AX400" s="69"/>
      <c r="AY400" s="69"/>
      <c r="AZ400" s="69"/>
      <c r="BA400" s="69"/>
      <c r="BB400" s="69"/>
      <c r="BC400" s="69"/>
      <c r="BD400" s="69"/>
      <c r="BE400" s="69"/>
      <c r="BF400" s="69"/>
      <c r="BG400" s="69"/>
      <c r="BH400" s="69"/>
      <c r="BI400" s="69"/>
      <c r="BJ400" s="69"/>
      <c r="BK400" s="69"/>
      <c r="BL400" s="69"/>
      <c r="BM400" s="69"/>
      <c r="BN400" s="69"/>
      <c r="BO400" s="69"/>
      <c r="BP400" s="69"/>
      <c r="BQ400" s="69"/>
      <c r="BR400" s="8"/>
    </row>
    <row r="401" ht="12.0" customHeight="1">
      <c r="A401" s="69"/>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69"/>
      <c r="AS401" s="69"/>
      <c r="AT401" s="69"/>
      <c r="AU401" s="69"/>
      <c r="AV401" s="69"/>
      <c r="AW401" s="69"/>
      <c r="AX401" s="69"/>
      <c r="AY401" s="69"/>
      <c r="AZ401" s="69"/>
      <c r="BA401" s="69"/>
      <c r="BB401" s="69"/>
      <c r="BC401" s="69"/>
      <c r="BD401" s="69"/>
      <c r="BE401" s="69"/>
      <c r="BF401" s="69"/>
      <c r="BG401" s="69"/>
      <c r="BH401" s="69"/>
      <c r="BI401" s="69"/>
      <c r="BJ401" s="69"/>
      <c r="BK401" s="69"/>
      <c r="BL401" s="69"/>
      <c r="BM401" s="69"/>
      <c r="BN401" s="69"/>
      <c r="BO401" s="69"/>
      <c r="BP401" s="69"/>
      <c r="BQ401" s="69"/>
      <c r="BR401" s="8"/>
    </row>
    <row r="402" ht="12.0" customHeight="1">
      <c r="A402" s="69"/>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69"/>
      <c r="AS402" s="69"/>
      <c r="AT402" s="69"/>
      <c r="AU402" s="69"/>
      <c r="AV402" s="69"/>
      <c r="AW402" s="69"/>
      <c r="AX402" s="69"/>
      <c r="AY402" s="69"/>
      <c r="AZ402" s="69"/>
      <c r="BA402" s="69"/>
      <c r="BB402" s="69"/>
      <c r="BC402" s="69"/>
      <c r="BD402" s="69"/>
      <c r="BE402" s="69"/>
      <c r="BF402" s="69"/>
      <c r="BG402" s="69"/>
      <c r="BH402" s="69"/>
      <c r="BI402" s="69"/>
      <c r="BJ402" s="69"/>
      <c r="BK402" s="69"/>
      <c r="BL402" s="69"/>
      <c r="BM402" s="69"/>
      <c r="BN402" s="69"/>
      <c r="BO402" s="69"/>
      <c r="BP402" s="69"/>
      <c r="BQ402" s="69"/>
      <c r="BR402" s="8"/>
    </row>
    <row r="403" ht="12.0" customHeight="1">
      <c r="A403" s="69"/>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69"/>
      <c r="AS403" s="69"/>
      <c r="AT403" s="69"/>
      <c r="AU403" s="69"/>
      <c r="AV403" s="69"/>
      <c r="AW403" s="69"/>
      <c r="AX403" s="69"/>
      <c r="AY403" s="69"/>
      <c r="AZ403" s="69"/>
      <c r="BA403" s="69"/>
      <c r="BB403" s="69"/>
      <c r="BC403" s="69"/>
      <c r="BD403" s="69"/>
      <c r="BE403" s="69"/>
      <c r="BF403" s="69"/>
      <c r="BG403" s="69"/>
      <c r="BH403" s="69"/>
      <c r="BI403" s="69"/>
      <c r="BJ403" s="69"/>
      <c r="BK403" s="69"/>
      <c r="BL403" s="69"/>
      <c r="BM403" s="69"/>
      <c r="BN403" s="69"/>
      <c r="BO403" s="69"/>
      <c r="BP403" s="69"/>
      <c r="BQ403" s="69"/>
      <c r="BR403" s="8"/>
    </row>
    <row r="404" ht="12.0" customHeight="1">
      <c r="A404" s="69"/>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69"/>
      <c r="AS404" s="69"/>
      <c r="AT404" s="69"/>
      <c r="AU404" s="69"/>
      <c r="AV404" s="69"/>
      <c r="AW404" s="69"/>
      <c r="AX404" s="69"/>
      <c r="AY404" s="69"/>
      <c r="AZ404" s="69"/>
      <c r="BA404" s="69"/>
      <c r="BB404" s="69"/>
      <c r="BC404" s="69"/>
      <c r="BD404" s="69"/>
      <c r="BE404" s="69"/>
      <c r="BF404" s="69"/>
      <c r="BG404" s="69"/>
      <c r="BH404" s="69"/>
      <c r="BI404" s="69"/>
      <c r="BJ404" s="69"/>
      <c r="BK404" s="69"/>
      <c r="BL404" s="69"/>
      <c r="BM404" s="69"/>
      <c r="BN404" s="69"/>
      <c r="BO404" s="69"/>
      <c r="BP404" s="69"/>
      <c r="BQ404" s="69"/>
      <c r="BR404" s="8"/>
    </row>
    <row r="405" ht="12.0" customHeight="1">
      <c r="A405" s="69"/>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69"/>
      <c r="AS405" s="69"/>
      <c r="AT405" s="69"/>
      <c r="AU405" s="69"/>
      <c r="AV405" s="69"/>
      <c r="AW405" s="69"/>
      <c r="AX405" s="69"/>
      <c r="AY405" s="69"/>
      <c r="AZ405" s="69"/>
      <c r="BA405" s="69"/>
      <c r="BB405" s="69"/>
      <c r="BC405" s="69"/>
      <c r="BD405" s="69"/>
      <c r="BE405" s="69"/>
      <c r="BF405" s="69"/>
      <c r="BG405" s="69"/>
      <c r="BH405" s="69"/>
      <c r="BI405" s="69"/>
      <c r="BJ405" s="69"/>
      <c r="BK405" s="69"/>
      <c r="BL405" s="69"/>
      <c r="BM405" s="69"/>
      <c r="BN405" s="69"/>
      <c r="BO405" s="69"/>
      <c r="BP405" s="69"/>
      <c r="BQ405" s="69"/>
      <c r="BR405" s="8"/>
    </row>
    <row r="406" ht="12.0" customHeight="1">
      <c r="A406" s="69"/>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69"/>
      <c r="AS406" s="69"/>
      <c r="AT406" s="69"/>
      <c r="AU406" s="69"/>
      <c r="AV406" s="69"/>
      <c r="AW406" s="69"/>
      <c r="AX406" s="69"/>
      <c r="AY406" s="69"/>
      <c r="AZ406" s="69"/>
      <c r="BA406" s="69"/>
      <c r="BB406" s="69"/>
      <c r="BC406" s="69"/>
      <c r="BD406" s="69"/>
      <c r="BE406" s="69"/>
      <c r="BF406" s="69"/>
      <c r="BG406" s="69"/>
      <c r="BH406" s="69"/>
      <c r="BI406" s="69"/>
      <c r="BJ406" s="69"/>
      <c r="BK406" s="69"/>
      <c r="BL406" s="69"/>
      <c r="BM406" s="69"/>
      <c r="BN406" s="69"/>
      <c r="BO406" s="69"/>
      <c r="BP406" s="69"/>
      <c r="BQ406" s="69"/>
      <c r="BR406" s="8"/>
    </row>
    <row r="407" ht="12.0" customHeight="1">
      <c r="A407" s="69"/>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69"/>
      <c r="AS407" s="69"/>
      <c r="AT407" s="69"/>
      <c r="AU407" s="69"/>
      <c r="AV407" s="69"/>
      <c r="AW407" s="69"/>
      <c r="AX407" s="69"/>
      <c r="AY407" s="69"/>
      <c r="AZ407" s="69"/>
      <c r="BA407" s="69"/>
      <c r="BB407" s="69"/>
      <c r="BC407" s="69"/>
      <c r="BD407" s="69"/>
      <c r="BE407" s="69"/>
      <c r="BF407" s="69"/>
      <c r="BG407" s="69"/>
      <c r="BH407" s="69"/>
      <c r="BI407" s="69"/>
      <c r="BJ407" s="69"/>
      <c r="BK407" s="69"/>
      <c r="BL407" s="69"/>
      <c r="BM407" s="69"/>
      <c r="BN407" s="69"/>
      <c r="BO407" s="69"/>
      <c r="BP407" s="69"/>
      <c r="BQ407" s="69"/>
      <c r="BR407" s="8"/>
    </row>
    <row r="408" ht="12.0" customHeight="1">
      <c r="A408" s="69"/>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69"/>
      <c r="AS408" s="69"/>
      <c r="AT408" s="69"/>
      <c r="AU408" s="69"/>
      <c r="AV408" s="69"/>
      <c r="AW408" s="69"/>
      <c r="AX408" s="69"/>
      <c r="AY408" s="69"/>
      <c r="AZ408" s="69"/>
      <c r="BA408" s="69"/>
      <c r="BB408" s="69"/>
      <c r="BC408" s="69"/>
      <c r="BD408" s="69"/>
      <c r="BE408" s="69"/>
      <c r="BF408" s="69"/>
      <c r="BG408" s="69"/>
      <c r="BH408" s="69"/>
      <c r="BI408" s="69"/>
      <c r="BJ408" s="69"/>
      <c r="BK408" s="69"/>
      <c r="BL408" s="69"/>
      <c r="BM408" s="69"/>
      <c r="BN408" s="69"/>
      <c r="BO408" s="69"/>
      <c r="BP408" s="69"/>
      <c r="BQ408" s="69"/>
      <c r="BR408" s="8"/>
    </row>
    <row r="409" ht="12.0" customHeight="1">
      <c r="A409" s="69"/>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69"/>
      <c r="AS409" s="69"/>
      <c r="AT409" s="69"/>
      <c r="AU409" s="69"/>
      <c r="AV409" s="69"/>
      <c r="AW409" s="69"/>
      <c r="AX409" s="69"/>
      <c r="AY409" s="69"/>
      <c r="AZ409" s="69"/>
      <c r="BA409" s="69"/>
      <c r="BB409" s="69"/>
      <c r="BC409" s="69"/>
      <c r="BD409" s="69"/>
      <c r="BE409" s="69"/>
      <c r="BF409" s="69"/>
      <c r="BG409" s="69"/>
      <c r="BH409" s="69"/>
      <c r="BI409" s="69"/>
      <c r="BJ409" s="69"/>
      <c r="BK409" s="69"/>
      <c r="BL409" s="69"/>
      <c r="BM409" s="69"/>
      <c r="BN409" s="69"/>
      <c r="BO409" s="69"/>
      <c r="BP409" s="69"/>
      <c r="BQ409" s="69"/>
      <c r="BR409" s="8"/>
    </row>
    <row r="410" ht="12.0" customHeight="1">
      <c r="A410" s="69"/>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69"/>
      <c r="AS410" s="69"/>
      <c r="AT410" s="69"/>
      <c r="AU410" s="69"/>
      <c r="AV410" s="69"/>
      <c r="AW410" s="69"/>
      <c r="AX410" s="69"/>
      <c r="AY410" s="69"/>
      <c r="AZ410" s="69"/>
      <c r="BA410" s="69"/>
      <c r="BB410" s="69"/>
      <c r="BC410" s="69"/>
      <c r="BD410" s="69"/>
      <c r="BE410" s="69"/>
      <c r="BF410" s="69"/>
      <c r="BG410" s="69"/>
      <c r="BH410" s="69"/>
      <c r="BI410" s="69"/>
      <c r="BJ410" s="69"/>
      <c r="BK410" s="69"/>
      <c r="BL410" s="69"/>
      <c r="BM410" s="69"/>
      <c r="BN410" s="69"/>
      <c r="BO410" s="69"/>
      <c r="BP410" s="69"/>
      <c r="BQ410" s="69"/>
      <c r="BR410" s="8"/>
    </row>
    <row r="411" ht="12.0" customHeight="1">
      <c r="A411" s="69"/>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69"/>
      <c r="AS411" s="69"/>
      <c r="AT411" s="69"/>
      <c r="AU411" s="69"/>
      <c r="AV411" s="69"/>
      <c r="AW411" s="69"/>
      <c r="AX411" s="69"/>
      <c r="AY411" s="69"/>
      <c r="AZ411" s="69"/>
      <c r="BA411" s="69"/>
      <c r="BB411" s="69"/>
      <c r="BC411" s="69"/>
      <c r="BD411" s="69"/>
      <c r="BE411" s="69"/>
      <c r="BF411" s="69"/>
      <c r="BG411" s="69"/>
      <c r="BH411" s="69"/>
      <c r="BI411" s="69"/>
      <c r="BJ411" s="69"/>
      <c r="BK411" s="69"/>
      <c r="BL411" s="69"/>
      <c r="BM411" s="69"/>
      <c r="BN411" s="69"/>
      <c r="BO411" s="69"/>
      <c r="BP411" s="69"/>
      <c r="BQ411" s="69"/>
      <c r="BR411" s="8"/>
    </row>
    <row r="412" ht="12.0" customHeight="1">
      <c r="A412" s="69"/>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69"/>
      <c r="AS412" s="69"/>
      <c r="AT412" s="69"/>
      <c r="AU412" s="69"/>
      <c r="AV412" s="69"/>
      <c r="AW412" s="69"/>
      <c r="AX412" s="69"/>
      <c r="AY412" s="69"/>
      <c r="AZ412" s="69"/>
      <c r="BA412" s="69"/>
      <c r="BB412" s="69"/>
      <c r="BC412" s="69"/>
      <c r="BD412" s="69"/>
      <c r="BE412" s="69"/>
      <c r="BF412" s="69"/>
      <c r="BG412" s="69"/>
      <c r="BH412" s="69"/>
      <c r="BI412" s="69"/>
      <c r="BJ412" s="69"/>
      <c r="BK412" s="69"/>
      <c r="BL412" s="69"/>
      <c r="BM412" s="69"/>
      <c r="BN412" s="69"/>
      <c r="BO412" s="69"/>
      <c r="BP412" s="69"/>
      <c r="BQ412" s="69"/>
      <c r="BR412" s="8"/>
    </row>
    <row r="413" ht="12.0" customHeight="1">
      <c r="A413" s="69"/>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69"/>
      <c r="AS413" s="69"/>
      <c r="AT413" s="69"/>
      <c r="AU413" s="69"/>
      <c r="AV413" s="69"/>
      <c r="AW413" s="69"/>
      <c r="AX413" s="69"/>
      <c r="AY413" s="69"/>
      <c r="AZ413" s="69"/>
      <c r="BA413" s="69"/>
      <c r="BB413" s="69"/>
      <c r="BC413" s="69"/>
      <c r="BD413" s="69"/>
      <c r="BE413" s="69"/>
      <c r="BF413" s="69"/>
      <c r="BG413" s="69"/>
      <c r="BH413" s="69"/>
      <c r="BI413" s="69"/>
      <c r="BJ413" s="69"/>
      <c r="BK413" s="69"/>
      <c r="BL413" s="69"/>
      <c r="BM413" s="69"/>
      <c r="BN413" s="69"/>
      <c r="BO413" s="69"/>
      <c r="BP413" s="69"/>
      <c r="BQ413" s="69"/>
      <c r="BR413" s="8"/>
    </row>
    <row r="414" ht="12.0" customHeight="1">
      <c r="A414" s="69"/>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69"/>
      <c r="AS414" s="69"/>
      <c r="AT414" s="69"/>
      <c r="AU414" s="69"/>
      <c r="AV414" s="69"/>
      <c r="AW414" s="69"/>
      <c r="AX414" s="69"/>
      <c r="AY414" s="69"/>
      <c r="AZ414" s="69"/>
      <c r="BA414" s="69"/>
      <c r="BB414" s="69"/>
      <c r="BC414" s="69"/>
      <c r="BD414" s="69"/>
      <c r="BE414" s="69"/>
      <c r="BF414" s="69"/>
      <c r="BG414" s="69"/>
      <c r="BH414" s="69"/>
      <c r="BI414" s="69"/>
      <c r="BJ414" s="69"/>
      <c r="BK414" s="69"/>
      <c r="BL414" s="69"/>
      <c r="BM414" s="69"/>
      <c r="BN414" s="69"/>
      <c r="BO414" s="69"/>
      <c r="BP414" s="69"/>
      <c r="BQ414" s="69"/>
      <c r="BR414" s="8"/>
    </row>
    <row r="415" ht="12.0" customHeight="1">
      <c r="A415" s="69"/>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69"/>
      <c r="AS415" s="69"/>
      <c r="AT415" s="69"/>
      <c r="AU415" s="69"/>
      <c r="AV415" s="69"/>
      <c r="AW415" s="69"/>
      <c r="AX415" s="69"/>
      <c r="AY415" s="69"/>
      <c r="AZ415" s="69"/>
      <c r="BA415" s="69"/>
      <c r="BB415" s="69"/>
      <c r="BC415" s="69"/>
      <c r="BD415" s="69"/>
      <c r="BE415" s="69"/>
      <c r="BF415" s="69"/>
      <c r="BG415" s="69"/>
      <c r="BH415" s="69"/>
      <c r="BI415" s="69"/>
      <c r="BJ415" s="69"/>
      <c r="BK415" s="69"/>
      <c r="BL415" s="69"/>
      <c r="BM415" s="69"/>
      <c r="BN415" s="69"/>
      <c r="BO415" s="69"/>
      <c r="BP415" s="69"/>
      <c r="BQ415" s="69"/>
      <c r="BR415" s="8"/>
    </row>
    <row r="416" ht="12.0" customHeight="1">
      <c r="A416" s="69"/>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69"/>
      <c r="AS416" s="69"/>
      <c r="AT416" s="69"/>
      <c r="AU416" s="69"/>
      <c r="AV416" s="69"/>
      <c r="AW416" s="69"/>
      <c r="AX416" s="69"/>
      <c r="AY416" s="69"/>
      <c r="AZ416" s="69"/>
      <c r="BA416" s="69"/>
      <c r="BB416" s="69"/>
      <c r="BC416" s="69"/>
      <c r="BD416" s="69"/>
      <c r="BE416" s="69"/>
      <c r="BF416" s="69"/>
      <c r="BG416" s="69"/>
      <c r="BH416" s="69"/>
      <c r="BI416" s="69"/>
      <c r="BJ416" s="69"/>
      <c r="BK416" s="69"/>
      <c r="BL416" s="69"/>
      <c r="BM416" s="69"/>
      <c r="BN416" s="69"/>
      <c r="BO416" s="69"/>
      <c r="BP416" s="69"/>
      <c r="BQ416" s="69"/>
      <c r="BR416" s="8"/>
    </row>
    <row r="417" ht="12.0" customHeight="1">
      <c r="A417" s="69"/>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69"/>
      <c r="AS417" s="69"/>
      <c r="AT417" s="69"/>
      <c r="AU417" s="69"/>
      <c r="AV417" s="69"/>
      <c r="AW417" s="69"/>
      <c r="AX417" s="69"/>
      <c r="AY417" s="69"/>
      <c r="AZ417" s="69"/>
      <c r="BA417" s="69"/>
      <c r="BB417" s="69"/>
      <c r="BC417" s="69"/>
      <c r="BD417" s="69"/>
      <c r="BE417" s="69"/>
      <c r="BF417" s="69"/>
      <c r="BG417" s="69"/>
      <c r="BH417" s="69"/>
      <c r="BI417" s="69"/>
      <c r="BJ417" s="69"/>
      <c r="BK417" s="69"/>
      <c r="BL417" s="69"/>
      <c r="BM417" s="69"/>
      <c r="BN417" s="69"/>
      <c r="BO417" s="69"/>
      <c r="BP417" s="69"/>
      <c r="BQ417" s="69"/>
      <c r="BR417" s="8"/>
    </row>
    <row r="418" ht="12.0" customHeight="1">
      <c r="A418" s="69"/>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69"/>
      <c r="AS418" s="69"/>
      <c r="AT418" s="69"/>
      <c r="AU418" s="69"/>
      <c r="AV418" s="69"/>
      <c r="AW418" s="69"/>
      <c r="AX418" s="69"/>
      <c r="AY418" s="69"/>
      <c r="AZ418" s="69"/>
      <c r="BA418" s="69"/>
      <c r="BB418" s="69"/>
      <c r="BC418" s="69"/>
      <c r="BD418" s="69"/>
      <c r="BE418" s="69"/>
      <c r="BF418" s="69"/>
      <c r="BG418" s="69"/>
      <c r="BH418" s="69"/>
      <c r="BI418" s="69"/>
      <c r="BJ418" s="69"/>
      <c r="BK418" s="69"/>
      <c r="BL418" s="69"/>
      <c r="BM418" s="69"/>
      <c r="BN418" s="69"/>
      <c r="BO418" s="69"/>
      <c r="BP418" s="69"/>
      <c r="BQ418" s="69"/>
      <c r="BR418" s="8"/>
    </row>
    <row r="419" ht="12.0" customHeight="1">
      <c r="A419" s="69"/>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69"/>
      <c r="AS419" s="69"/>
      <c r="AT419" s="69"/>
      <c r="AU419" s="69"/>
      <c r="AV419" s="69"/>
      <c r="AW419" s="69"/>
      <c r="AX419" s="69"/>
      <c r="AY419" s="69"/>
      <c r="AZ419" s="69"/>
      <c r="BA419" s="69"/>
      <c r="BB419" s="69"/>
      <c r="BC419" s="69"/>
      <c r="BD419" s="69"/>
      <c r="BE419" s="69"/>
      <c r="BF419" s="69"/>
      <c r="BG419" s="69"/>
      <c r="BH419" s="69"/>
      <c r="BI419" s="69"/>
      <c r="BJ419" s="69"/>
      <c r="BK419" s="69"/>
      <c r="BL419" s="69"/>
      <c r="BM419" s="69"/>
      <c r="BN419" s="69"/>
      <c r="BO419" s="69"/>
      <c r="BP419" s="69"/>
      <c r="BQ419" s="69"/>
      <c r="BR419" s="8"/>
    </row>
    <row r="420" ht="12.0" customHeight="1">
      <c r="A420" s="69"/>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69"/>
      <c r="AS420" s="69"/>
      <c r="AT420" s="69"/>
      <c r="AU420" s="69"/>
      <c r="AV420" s="69"/>
      <c r="AW420" s="69"/>
      <c r="AX420" s="69"/>
      <c r="AY420" s="69"/>
      <c r="AZ420" s="69"/>
      <c r="BA420" s="69"/>
      <c r="BB420" s="69"/>
      <c r="BC420" s="69"/>
      <c r="BD420" s="69"/>
      <c r="BE420" s="69"/>
      <c r="BF420" s="69"/>
      <c r="BG420" s="69"/>
      <c r="BH420" s="69"/>
      <c r="BI420" s="69"/>
      <c r="BJ420" s="69"/>
      <c r="BK420" s="69"/>
      <c r="BL420" s="69"/>
      <c r="BM420" s="69"/>
      <c r="BN420" s="69"/>
      <c r="BO420" s="69"/>
      <c r="BP420" s="69"/>
      <c r="BQ420" s="69"/>
      <c r="BR420" s="8"/>
    </row>
    <row r="421" ht="12.0" customHeight="1">
      <c r="A421" s="69"/>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69"/>
      <c r="AS421" s="69"/>
      <c r="AT421" s="69"/>
      <c r="AU421" s="69"/>
      <c r="AV421" s="69"/>
      <c r="AW421" s="69"/>
      <c r="AX421" s="69"/>
      <c r="AY421" s="69"/>
      <c r="AZ421" s="69"/>
      <c r="BA421" s="69"/>
      <c r="BB421" s="69"/>
      <c r="BC421" s="69"/>
      <c r="BD421" s="69"/>
      <c r="BE421" s="69"/>
      <c r="BF421" s="69"/>
      <c r="BG421" s="69"/>
      <c r="BH421" s="69"/>
      <c r="BI421" s="69"/>
      <c r="BJ421" s="69"/>
      <c r="BK421" s="69"/>
      <c r="BL421" s="69"/>
      <c r="BM421" s="69"/>
      <c r="BN421" s="69"/>
      <c r="BO421" s="69"/>
      <c r="BP421" s="69"/>
      <c r="BQ421" s="69"/>
      <c r="BR421" s="8"/>
    </row>
    <row r="422" ht="12.0" customHeight="1">
      <c r="A422" s="69"/>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69"/>
      <c r="AS422" s="69"/>
      <c r="AT422" s="69"/>
      <c r="AU422" s="69"/>
      <c r="AV422" s="69"/>
      <c r="AW422" s="69"/>
      <c r="AX422" s="69"/>
      <c r="AY422" s="69"/>
      <c r="AZ422" s="69"/>
      <c r="BA422" s="69"/>
      <c r="BB422" s="69"/>
      <c r="BC422" s="69"/>
      <c r="BD422" s="69"/>
      <c r="BE422" s="69"/>
      <c r="BF422" s="69"/>
      <c r="BG422" s="69"/>
      <c r="BH422" s="69"/>
      <c r="BI422" s="69"/>
      <c r="BJ422" s="69"/>
      <c r="BK422" s="69"/>
      <c r="BL422" s="69"/>
      <c r="BM422" s="69"/>
      <c r="BN422" s="69"/>
      <c r="BO422" s="69"/>
      <c r="BP422" s="69"/>
      <c r="BQ422" s="69"/>
      <c r="BR422" s="8"/>
    </row>
    <row r="423" ht="12.0" customHeight="1">
      <c r="A423" s="69"/>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69"/>
      <c r="AS423" s="69"/>
      <c r="AT423" s="69"/>
      <c r="AU423" s="69"/>
      <c r="AV423" s="69"/>
      <c r="AW423" s="69"/>
      <c r="AX423" s="69"/>
      <c r="AY423" s="69"/>
      <c r="AZ423" s="69"/>
      <c r="BA423" s="69"/>
      <c r="BB423" s="69"/>
      <c r="BC423" s="69"/>
      <c r="BD423" s="69"/>
      <c r="BE423" s="69"/>
      <c r="BF423" s="69"/>
      <c r="BG423" s="69"/>
      <c r="BH423" s="69"/>
      <c r="BI423" s="69"/>
      <c r="BJ423" s="69"/>
      <c r="BK423" s="69"/>
      <c r="BL423" s="69"/>
      <c r="BM423" s="69"/>
      <c r="BN423" s="69"/>
      <c r="BO423" s="69"/>
      <c r="BP423" s="69"/>
      <c r="BQ423" s="69"/>
      <c r="BR423" s="8"/>
    </row>
    <row r="424" ht="12.0" customHeight="1">
      <c r="A424" s="69"/>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69"/>
      <c r="AS424" s="69"/>
      <c r="AT424" s="69"/>
      <c r="AU424" s="69"/>
      <c r="AV424" s="69"/>
      <c r="AW424" s="69"/>
      <c r="AX424" s="69"/>
      <c r="AY424" s="69"/>
      <c r="AZ424" s="69"/>
      <c r="BA424" s="69"/>
      <c r="BB424" s="69"/>
      <c r="BC424" s="69"/>
      <c r="BD424" s="69"/>
      <c r="BE424" s="69"/>
      <c r="BF424" s="69"/>
      <c r="BG424" s="69"/>
      <c r="BH424" s="69"/>
      <c r="BI424" s="69"/>
      <c r="BJ424" s="69"/>
      <c r="BK424" s="69"/>
      <c r="BL424" s="69"/>
      <c r="BM424" s="69"/>
      <c r="BN424" s="69"/>
      <c r="BO424" s="69"/>
      <c r="BP424" s="69"/>
      <c r="BQ424" s="69"/>
      <c r="BR424" s="8"/>
    </row>
    <row r="425" ht="12.0" customHeight="1">
      <c r="A425" s="69"/>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69"/>
      <c r="AS425" s="69"/>
      <c r="AT425" s="69"/>
      <c r="AU425" s="69"/>
      <c r="AV425" s="69"/>
      <c r="AW425" s="69"/>
      <c r="AX425" s="69"/>
      <c r="AY425" s="69"/>
      <c r="AZ425" s="69"/>
      <c r="BA425" s="69"/>
      <c r="BB425" s="69"/>
      <c r="BC425" s="69"/>
      <c r="BD425" s="69"/>
      <c r="BE425" s="69"/>
      <c r="BF425" s="69"/>
      <c r="BG425" s="69"/>
      <c r="BH425" s="69"/>
      <c r="BI425" s="69"/>
      <c r="BJ425" s="69"/>
      <c r="BK425" s="69"/>
      <c r="BL425" s="69"/>
      <c r="BM425" s="69"/>
      <c r="BN425" s="69"/>
      <c r="BO425" s="69"/>
      <c r="BP425" s="69"/>
      <c r="BQ425" s="69"/>
      <c r="BR425" s="8"/>
    </row>
    <row r="426" ht="12.0" customHeight="1">
      <c r="A426" s="69"/>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69"/>
      <c r="AS426" s="69"/>
      <c r="AT426" s="69"/>
      <c r="AU426" s="69"/>
      <c r="AV426" s="69"/>
      <c r="AW426" s="69"/>
      <c r="AX426" s="69"/>
      <c r="AY426" s="69"/>
      <c r="AZ426" s="69"/>
      <c r="BA426" s="69"/>
      <c r="BB426" s="69"/>
      <c r="BC426" s="69"/>
      <c r="BD426" s="69"/>
      <c r="BE426" s="69"/>
      <c r="BF426" s="69"/>
      <c r="BG426" s="69"/>
      <c r="BH426" s="69"/>
      <c r="BI426" s="69"/>
      <c r="BJ426" s="69"/>
      <c r="BK426" s="69"/>
      <c r="BL426" s="69"/>
      <c r="BM426" s="69"/>
      <c r="BN426" s="69"/>
      <c r="BO426" s="69"/>
      <c r="BP426" s="69"/>
      <c r="BQ426" s="69"/>
      <c r="BR426" s="8"/>
    </row>
    <row r="427" ht="12.0" customHeight="1">
      <c r="A427" s="69"/>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69"/>
      <c r="AS427" s="69"/>
      <c r="AT427" s="69"/>
      <c r="AU427" s="69"/>
      <c r="AV427" s="69"/>
      <c r="AW427" s="69"/>
      <c r="AX427" s="69"/>
      <c r="AY427" s="69"/>
      <c r="AZ427" s="69"/>
      <c r="BA427" s="69"/>
      <c r="BB427" s="69"/>
      <c r="BC427" s="69"/>
      <c r="BD427" s="69"/>
      <c r="BE427" s="69"/>
      <c r="BF427" s="69"/>
      <c r="BG427" s="69"/>
      <c r="BH427" s="69"/>
      <c r="BI427" s="69"/>
      <c r="BJ427" s="69"/>
      <c r="BK427" s="69"/>
      <c r="BL427" s="69"/>
      <c r="BM427" s="69"/>
      <c r="BN427" s="69"/>
      <c r="BO427" s="69"/>
      <c r="BP427" s="69"/>
      <c r="BQ427" s="69"/>
      <c r="BR427" s="8"/>
    </row>
    <row r="428" ht="12.0" customHeight="1">
      <c r="A428" s="69"/>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69"/>
      <c r="AS428" s="69"/>
      <c r="AT428" s="69"/>
      <c r="AU428" s="69"/>
      <c r="AV428" s="69"/>
      <c r="AW428" s="69"/>
      <c r="AX428" s="69"/>
      <c r="AY428" s="69"/>
      <c r="AZ428" s="69"/>
      <c r="BA428" s="69"/>
      <c r="BB428" s="69"/>
      <c r="BC428" s="69"/>
      <c r="BD428" s="69"/>
      <c r="BE428" s="69"/>
      <c r="BF428" s="69"/>
      <c r="BG428" s="69"/>
      <c r="BH428" s="69"/>
      <c r="BI428" s="69"/>
      <c r="BJ428" s="69"/>
      <c r="BK428" s="69"/>
      <c r="BL428" s="69"/>
      <c r="BM428" s="69"/>
      <c r="BN428" s="69"/>
      <c r="BO428" s="69"/>
      <c r="BP428" s="69"/>
      <c r="BQ428" s="69"/>
      <c r="BR428" s="8"/>
    </row>
    <row r="429" ht="12.0" customHeight="1">
      <c r="A429" s="69"/>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69"/>
      <c r="AS429" s="69"/>
      <c r="AT429" s="69"/>
      <c r="AU429" s="69"/>
      <c r="AV429" s="69"/>
      <c r="AW429" s="69"/>
      <c r="AX429" s="69"/>
      <c r="AY429" s="69"/>
      <c r="AZ429" s="69"/>
      <c r="BA429" s="69"/>
      <c r="BB429" s="69"/>
      <c r="BC429" s="69"/>
      <c r="BD429" s="69"/>
      <c r="BE429" s="69"/>
      <c r="BF429" s="69"/>
      <c r="BG429" s="69"/>
      <c r="BH429" s="69"/>
      <c r="BI429" s="69"/>
      <c r="BJ429" s="69"/>
      <c r="BK429" s="69"/>
      <c r="BL429" s="69"/>
      <c r="BM429" s="69"/>
      <c r="BN429" s="69"/>
      <c r="BO429" s="69"/>
      <c r="BP429" s="69"/>
      <c r="BQ429" s="69"/>
      <c r="BR429" s="8"/>
    </row>
    <row r="430" ht="12.0" customHeight="1">
      <c r="A430" s="69"/>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69"/>
      <c r="AS430" s="69"/>
      <c r="AT430" s="69"/>
      <c r="AU430" s="69"/>
      <c r="AV430" s="69"/>
      <c r="AW430" s="69"/>
      <c r="AX430" s="69"/>
      <c r="AY430" s="69"/>
      <c r="AZ430" s="69"/>
      <c r="BA430" s="69"/>
      <c r="BB430" s="69"/>
      <c r="BC430" s="69"/>
      <c r="BD430" s="69"/>
      <c r="BE430" s="69"/>
      <c r="BF430" s="69"/>
      <c r="BG430" s="69"/>
      <c r="BH430" s="69"/>
      <c r="BI430" s="69"/>
      <c r="BJ430" s="69"/>
      <c r="BK430" s="69"/>
      <c r="BL430" s="69"/>
      <c r="BM430" s="69"/>
      <c r="BN430" s="69"/>
      <c r="BO430" s="69"/>
      <c r="BP430" s="69"/>
      <c r="BQ430" s="69"/>
      <c r="BR430" s="8"/>
    </row>
    <row r="431" ht="12.0" customHeight="1">
      <c r="A431" s="69"/>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69"/>
      <c r="AS431" s="69"/>
      <c r="AT431" s="69"/>
      <c r="AU431" s="69"/>
      <c r="AV431" s="69"/>
      <c r="AW431" s="69"/>
      <c r="AX431" s="69"/>
      <c r="AY431" s="69"/>
      <c r="AZ431" s="69"/>
      <c r="BA431" s="69"/>
      <c r="BB431" s="69"/>
      <c r="BC431" s="69"/>
      <c r="BD431" s="69"/>
      <c r="BE431" s="69"/>
      <c r="BF431" s="69"/>
      <c r="BG431" s="69"/>
      <c r="BH431" s="69"/>
      <c r="BI431" s="69"/>
      <c r="BJ431" s="69"/>
      <c r="BK431" s="69"/>
      <c r="BL431" s="69"/>
      <c r="BM431" s="69"/>
      <c r="BN431" s="69"/>
      <c r="BO431" s="69"/>
      <c r="BP431" s="69"/>
      <c r="BQ431" s="69"/>
      <c r="BR431" s="8"/>
    </row>
    <row r="432" ht="12.0" customHeight="1">
      <c r="A432" s="69"/>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69"/>
      <c r="AS432" s="69"/>
      <c r="AT432" s="69"/>
      <c r="AU432" s="69"/>
      <c r="AV432" s="69"/>
      <c r="AW432" s="69"/>
      <c r="AX432" s="69"/>
      <c r="AY432" s="69"/>
      <c r="AZ432" s="69"/>
      <c r="BA432" s="69"/>
      <c r="BB432" s="69"/>
      <c r="BC432" s="69"/>
      <c r="BD432" s="69"/>
      <c r="BE432" s="69"/>
      <c r="BF432" s="69"/>
      <c r="BG432" s="69"/>
      <c r="BH432" s="69"/>
      <c r="BI432" s="69"/>
      <c r="BJ432" s="69"/>
      <c r="BK432" s="69"/>
      <c r="BL432" s="69"/>
      <c r="BM432" s="69"/>
      <c r="BN432" s="69"/>
      <c r="BO432" s="69"/>
      <c r="BP432" s="69"/>
      <c r="BQ432" s="69"/>
      <c r="BR432" s="8"/>
    </row>
    <row r="433" ht="12.0" customHeight="1">
      <c r="A433" s="69"/>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69"/>
      <c r="AS433" s="69"/>
      <c r="AT433" s="69"/>
      <c r="AU433" s="69"/>
      <c r="AV433" s="69"/>
      <c r="AW433" s="69"/>
      <c r="AX433" s="69"/>
      <c r="AY433" s="69"/>
      <c r="AZ433" s="69"/>
      <c r="BA433" s="69"/>
      <c r="BB433" s="69"/>
      <c r="BC433" s="69"/>
      <c r="BD433" s="69"/>
      <c r="BE433" s="69"/>
      <c r="BF433" s="69"/>
      <c r="BG433" s="69"/>
      <c r="BH433" s="69"/>
      <c r="BI433" s="69"/>
      <c r="BJ433" s="69"/>
      <c r="BK433" s="69"/>
      <c r="BL433" s="69"/>
      <c r="BM433" s="69"/>
      <c r="BN433" s="69"/>
      <c r="BO433" s="69"/>
      <c r="BP433" s="69"/>
      <c r="BQ433" s="69"/>
      <c r="BR433" s="8"/>
    </row>
    <row r="434" ht="12.0" customHeight="1">
      <c r="A434" s="69"/>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69"/>
      <c r="AS434" s="69"/>
      <c r="AT434" s="69"/>
      <c r="AU434" s="69"/>
      <c r="AV434" s="69"/>
      <c r="AW434" s="69"/>
      <c r="AX434" s="69"/>
      <c r="AY434" s="69"/>
      <c r="AZ434" s="69"/>
      <c r="BA434" s="69"/>
      <c r="BB434" s="69"/>
      <c r="BC434" s="69"/>
      <c r="BD434" s="69"/>
      <c r="BE434" s="69"/>
      <c r="BF434" s="69"/>
      <c r="BG434" s="69"/>
      <c r="BH434" s="69"/>
      <c r="BI434" s="69"/>
      <c r="BJ434" s="69"/>
      <c r="BK434" s="69"/>
      <c r="BL434" s="69"/>
      <c r="BM434" s="69"/>
      <c r="BN434" s="69"/>
      <c r="BO434" s="69"/>
      <c r="BP434" s="69"/>
      <c r="BQ434" s="69"/>
      <c r="BR434" s="8"/>
    </row>
    <row r="435" ht="12.0" customHeight="1">
      <c r="A435" s="69"/>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69"/>
      <c r="AS435" s="69"/>
      <c r="AT435" s="69"/>
      <c r="AU435" s="69"/>
      <c r="AV435" s="69"/>
      <c r="AW435" s="69"/>
      <c r="AX435" s="69"/>
      <c r="AY435" s="69"/>
      <c r="AZ435" s="69"/>
      <c r="BA435" s="69"/>
      <c r="BB435" s="69"/>
      <c r="BC435" s="69"/>
      <c r="BD435" s="69"/>
      <c r="BE435" s="69"/>
      <c r="BF435" s="69"/>
      <c r="BG435" s="69"/>
      <c r="BH435" s="69"/>
      <c r="BI435" s="69"/>
      <c r="BJ435" s="69"/>
      <c r="BK435" s="69"/>
      <c r="BL435" s="69"/>
      <c r="BM435" s="69"/>
      <c r="BN435" s="69"/>
      <c r="BO435" s="69"/>
      <c r="BP435" s="69"/>
      <c r="BQ435" s="69"/>
      <c r="BR435" s="8"/>
    </row>
    <row r="436" ht="12.0" customHeight="1">
      <c r="A436" s="69"/>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69"/>
      <c r="AS436" s="69"/>
      <c r="AT436" s="69"/>
      <c r="AU436" s="69"/>
      <c r="AV436" s="69"/>
      <c r="AW436" s="69"/>
      <c r="AX436" s="69"/>
      <c r="AY436" s="69"/>
      <c r="AZ436" s="69"/>
      <c r="BA436" s="69"/>
      <c r="BB436" s="69"/>
      <c r="BC436" s="69"/>
      <c r="BD436" s="69"/>
      <c r="BE436" s="69"/>
      <c r="BF436" s="69"/>
      <c r="BG436" s="69"/>
      <c r="BH436" s="69"/>
      <c r="BI436" s="69"/>
      <c r="BJ436" s="69"/>
      <c r="BK436" s="69"/>
      <c r="BL436" s="69"/>
      <c r="BM436" s="69"/>
      <c r="BN436" s="69"/>
      <c r="BO436" s="69"/>
      <c r="BP436" s="69"/>
      <c r="BQ436" s="69"/>
      <c r="BR436" s="8"/>
    </row>
    <row r="437" ht="12.0" customHeight="1">
      <c r="A437" s="69"/>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69"/>
      <c r="AS437" s="69"/>
      <c r="AT437" s="69"/>
      <c r="AU437" s="69"/>
      <c r="AV437" s="69"/>
      <c r="AW437" s="69"/>
      <c r="AX437" s="69"/>
      <c r="AY437" s="69"/>
      <c r="AZ437" s="69"/>
      <c r="BA437" s="69"/>
      <c r="BB437" s="69"/>
      <c r="BC437" s="69"/>
      <c r="BD437" s="69"/>
      <c r="BE437" s="69"/>
      <c r="BF437" s="69"/>
      <c r="BG437" s="69"/>
      <c r="BH437" s="69"/>
      <c r="BI437" s="69"/>
      <c r="BJ437" s="69"/>
      <c r="BK437" s="69"/>
      <c r="BL437" s="69"/>
      <c r="BM437" s="69"/>
      <c r="BN437" s="69"/>
      <c r="BO437" s="69"/>
      <c r="BP437" s="69"/>
      <c r="BQ437" s="69"/>
      <c r="BR437" s="8"/>
    </row>
    <row r="438" ht="12.0" customHeight="1">
      <c r="A438" s="69"/>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69"/>
      <c r="AS438" s="69"/>
      <c r="AT438" s="69"/>
      <c r="AU438" s="69"/>
      <c r="AV438" s="69"/>
      <c r="AW438" s="69"/>
      <c r="AX438" s="69"/>
      <c r="AY438" s="69"/>
      <c r="AZ438" s="69"/>
      <c r="BA438" s="69"/>
      <c r="BB438" s="69"/>
      <c r="BC438" s="69"/>
      <c r="BD438" s="69"/>
      <c r="BE438" s="69"/>
      <c r="BF438" s="69"/>
      <c r="BG438" s="69"/>
      <c r="BH438" s="69"/>
      <c r="BI438" s="69"/>
      <c r="BJ438" s="69"/>
      <c r="BK438" s="69"/>
      <c r="BL438" s="69"/>
      <c r="BM438" s="69"/>
      <c r="BN438" s="69"/>
      <c r="BO438" s="69"/>
      <c r="BP438" s="69"/>
      <c r="BQ438" s="69"/>
      <c r="BR438" s="8"/>
    </row>
    <row r="439" ht="12.0" customHeight="1">
      <c r="A439" s="69"/>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69"/>
      <c r="AS439" s="69"/>
      <c r="AT439" s="69"/>
      <c r="AU439" s="69"/>
      <c r="AV439" s="69"/>
      <c r="AW439" s="69"/>
      <c r="AX439" s="69"/>
      <c r="AY439" s="69"/>
      <c r="AZ439" s="69"/>
      <c r="BA439" s="69"/>
      <c r="BB439" s="69"/>
      <c r="BC439" s="69"/>
      <c r="BD439" s="69"/>
      <c r="BE439" s="69"/>
      <c r="BF439" s="69"/>
      <c r="BG439" s="69"/>
      <c r="BH439" s="69"/>
      <c r="BI439" s="69"/>
      <c r="BJ439" s="69"/>
      <c r="BK439" s="69"/>
      <c r="BL439" s="69"/>
      <c r="BM439" s="69"/>
      <c r="BN439" s="69"/>
      <c r="BO439" s="69"/>
      <c r="BP439" s="69"/>
      <c r="BQ439" s="69"/>
      <c r="BR439" s="8"/>
    </row>
    <row r="440" ht="12.0" customHeight="1">
      <c r="A440" s="69"/>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69"/>
      <c r="AS440" s="69"/>
      <c r="AT440" s="69"/>
      <c r="AU440" s="69"/>
      <c r="AV440" s="69"/>
      <c r="AW440" s="69"/>
      <c r="AX440" s="69"/>
      <c r="AY440" s="69"/>
      <c r="AZ440" s="69"/>
      <c r="BA440" s="69"/>
      <c r="BB440" s="69"/>
      <c r="BC440" s="69"/>
      <c r="BD440" s="69"/>
      <c r="BE440" s="69"/>
      <c r="BF440" s="69"/>
      <c r="BG440" s="69"/>
      <c r="BH440" s="69"/>
      <c r="BI440" s="69"/>
      <c r="BJ440" s="69"/>
      <c r="BK440" s="69"/>
      <c r="BL440" s="69"/>
      <c r="BM440" s="69"/>
      <c r="BN440" s="69"/>
      <c r="BO440" s="69"/>
      <c r="BP440" s="69"/>
      <c r="BQ440" s="69"/>
      <c r="BR440" s="8"/>
    </row>
    <row r="441" ht="12.0" customHeight="1">
      <c r="A441" s="69"/>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69"/>
      <c r="AS441" s="69"/>
      <c r="AT441" s="69"/>
      <c r="AU441" s="69"/>
      <c r="AV441" s="69"/>
      <c r="AW441" s="69"/>
      <c r="AX441" s="69"/>
      <c r="AY441" s="69"/>
      <c r="AZ441" s="69"/>
      <c r="BA441" s="69"/>
      <c r="BB441" s="69"/>
      <c r="BC441" s="69"/>
      <c r="BD441" s="69"/>
      <c r="BE441" s="69"/>
      <c r="BF441" s="69"/>
      <c r="BG441" s="69"/>
      <c r="BH441" s="69"/>
      <c r="BI441" s="69"/>
      <c r="BJ441" s="69"/>
      <c r="BK441" s="69"/>
      <c r="BL441" s="69"/>
      <c r="BM441" s="69"/>
      <c r="BN441" s="69"/>
      <c r="BO441" s="69"/>
      <c r="BP441" s="69"/>
      <c r="BQ441" s="69"/>
      <c r="BR441" s="8"/>
    </row>
    <row r="442" ht="12.0" customHeight="1">
      <c r="A442" s="69"/>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69"/>
      <c r="AS442" s="69"/>
      <c r="AT442" s="69"/>
      <c r="AU442" s="69"/>
      <c r="AV442" s="69"/>
      <c r="AW442" s="69"/>
      <c r="AX442" s="69"/>
      <c r="AY442" s="69"/>
      <c r="AZ442" s="69"/>
      <c r="BA442" s="69"/>
      <c r="BB442" s="69"/>
      <c r="BC442" s="69"/>
      <c r="BD442" s="69"/>
      <c r="BE442" s="69"/>
      <c r="BF442" s="69"/>
      <c r="BG442" s="69"/>
      <c r="BH442" s="69"/>
      <c r="BI442" s="69"/>
      <c r="BJ442" s="69"/>
      <c r="BK442" s="69"/>
      <c r="BL442" s="69"/>
      <c r="BM442" s="69"/>
      <c r="BN442" s="69"/>
      <c r="BO442" s="69"/>
      <c r="BP442" s="69"/>
      <c r="BQ442" s="69"/>
      <c r="BR442" s="8"/>
    </row>
    <row r="443" ht="12.0" customHeight="1">
      <c r="A443" s="69"/>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69"/>
      <c r="AS443" s="69"/>
      <c r="AT443" s="69"/>
      <c r="AU443" s="69"/>
      <c r="AV443" s="69"/>
      <c r="AW443" s="69"/>
      <c r="AX443" s="69"/>
      <c r="AY443" s="69"/>
      <c r="AZ443" s="69"/>
      <c r="BA443" s="69"/>
      <c r="BB443" s="69"/>
      <c r="BC443" s="69"/>
      <c r="BD443" s="69"/>
      <c r="BE443" s="69"/>
      <c r="BF443" s="69"/>
      <c r="BG443" s="69"/>
      <c r="BH443" s="69"/>
      <c r="BI443" s="69"/>
      <c r="BJ443" s="69"/>
      <c r="BK443" s="69"/>
      <c r="BL443" s="69"/>
      <c r="BM443" s="69"/>
      <c r="BN443" s="69"/>
      <c r="BO443" s="69"/>
      <c r="BP443" s="69"/>
      <c r="BQ443" s="69"/>
      <c r="BR443" s="8"/>
    </row>
    <row r="444" ht="12.0" customHeight="1">
      <c r="A444" s="69"/>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69"/>
      <c r="AS444" s="69"/>
      <c r="AT444" s="69"/>
      <c r="AU444" s="69"/>
      <c r="AV444" s="69"/>
      <c r="AW444" s="69"/>
      <c r="AX444" s="69"/>
      <c r="AY444" s="69"/>
      <c r="AZ444" s="69"/>
      <c r="BA444" s="69"/>
      <c r="BB444" s="69"/>
      <c r="BC444" s="69"/>
      <c r="BD444" s="69"/>
      <c r="BE444" s="69"/>
      <c r="BF444" s="69"/>
      <c r="BG444" s="69"/>
      <c r="BH444" s="69"/>
      <c r="BI444" s="69"/>
      <c r="BJ444" s="69"/>
      <c r="BK444" s="69"/>
      <c r="BL444" s="69"/>
      <c r="BM444" s="69"/>
      <c r="BN444" s="69"/>
      <c r="BO444" s="69"/>
      <c r="BP444" s="69"/>
      <c r="BQ444" s="69"/>
      <c r="BR444" s="8"/>
    </row>
    <row r="445" ht="12.0" customHeight="1">
      <c r="A445" s="69"/>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69"/>
      <c r="AS445" s="69"/>
      <c r="AT445" s="69"/>
      <c r="AU445" s="69"/>
      <c r="AV445" s="69"/>
      <c r="AW445" s="69"/>
      <c r="AX445" s="69"/>
      <c r="AY445" s="69"/>
      <c r="AZ445" s="69"/>
      <c r="BA445" s="69"/>
      <c r="BB445" s="69"/>
      <c r="BC445" s="69"/>
      <c r="BD445" s="69"/>
      <c r="BE445" s="69"/>
      <c r="BF445" s="69"/>
      <c r="BG445" s="69"/>
      <c r="BH445" s="69"/>
      <c r="BI445" s="69"/>
      <c r="BJ445" s="69"/>
      <c r="BK445" s="69"/>
      <c r="BL445" s="69"/>
      <c r="BM445" s="69"/>
      <c r="BN445" s="69"/>
      <c r="BO445" s="69"/>
      <c r="BP445" s="69"/>
      <c r="BQ445" s="69"/>
      <c r="BR445" s="8"/>
    </row>
    <row r="446" ht="12.0" customHeight="1">
      <c r="A446" s="69"/>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69"/>
      <c r="AS446" s="69"/>
      <c r="AT446" s="69"/>
      <c r="AU446" s="69"/>
      <c r="AV446" s="69"/>
      <c r="AW446" s="69"/>
      <c r="AX446" s="69"/>
      <c r="AY446" s="69"/>
      <c r="AZ446" s="69"/>
      <c r="BA446" s="69"/>
      <c r="BB446" s="69"/>
      <c r="BC446" s="69"/>
      <c r="BD446" s="69"/>
      <c r="BE446" s="69"/>
      <c r="BF446" s="69"/>
      <c r="BG446" s="69"/>
      <c r="BH446" s="69"/>
      <c r="BI446" s="69"/>
      <c r="BJ446" s="69"/>
      <c r="BK446" s="69"/>
      <c r="BL446" s="69"/>
      <c r="BM446" s="69"/>
      <c r="BN446" s="69"/>
      <c r="BO446" s="69"/>
      <c r="BP446" s="69"/>
      <c r="BQ446" s="69"/>
      <c r="BR446" s="8"/>
    </row>
    <row r="447" ht="12.0" customHeight="1">
      <c r="A447" s="69"/>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69"/>
      <c r="AS447" s="69"/>
      <c r="AT447" s="69"/>
      <c r="AU447" s="69"/>
      <c r="AV447" s="69"/>
      <c r="AW447" s="69"/>
      <c r="AX447" s="69"/>
      <c r="AY447" s="69"/>
      <c r="AZ447" s="69"/>
      <c r="BA447" s="69"/>
      <c r="BB447" s="69"/>
      <c r="BC447" s="69"/>
      <c r="BD447" s="69"/>
      <c r="BE447" s="69"/>
      <c r="BF447" s="69"/>
      <c r="BG447" s="69"/>
      <c r="BH447" s="69"/>
      <c r="BI447" s="69"/>
      <c r="BJ447" s="69"/>
      <c r="BK447" s="69"/>
      <c r="BL447" s="69"/>
      <c r="BM447" s="69"/>
      <c r="BN447" s="69"/>
      <c r="BO447" s="69"/>
      <c r="BP447" s="69"/>
      <c r="BQ447" s="69"/>
      <c r="BR447" s="8"/>
    </row>
    <row r="448" ht="12.0" customHeight="1">
      <c r="A448" s="69"/>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69"/>
      <c r="AS448" s="69"/>
      <c r="AT448" s="69"/>
      <c r="AU448" s="69"/>
      <c r="AV448" s="69"/>
      <c r="AW448" s="69"/>
      <c r="AX448" s="69"/>
      <c r="AY448" s="69"/>
      <c r="AZ448" s="69"/>
      <c r="BA448" s="69"/>
      <c r="BB448" s="69"/>
      <c r="BC448" s="69"/>
      <c r="BD448" s="69"/>
      <c r="BE448" s="69"/>
      <c r="BF448" s="69"/>
      <c r="BG448" s="69"/>
      <c r="BH448" s="69"/>
      <c r="BI448" s="69"/>
      <c r="BJ448" s="69"/>
      <c r="BK448" s="69"/>
      <c r="BL448" s="69"/>
      <c r="BM448" s="69"/>
      <c r="BN448" s="69"/>
      <c r="BO448" s="69"/>
      <c r="BP448" s="69"/>
      <c r="BQ448" s="69"/>
      <c r="BR448" s="8"/>
    </row>
    <row r="449" ht="12.0" customHeight="1">
      <c r="A449" s="69"/>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69"/>
      <c r="AS449" s="69"/>
      <c r="AT449" s="69"/>
      <c r="AU449" s="69"/>
      <c r="AV449" s="69"/>
      <c r="AW449" s="69"/>
      <c r="AX449" s="69"/>
      <c r="AY449" s="69"/>
      <c r="AZ449" s="69"/>
      <c r="BA449" s="69"/>
      <c r="BB449" s="69"/>
      <c r="BC449" s="69"/>
      <c r="BD449" s="69"/>
      <c r="BE449" s="69"/>
      <c r="BF449" s="69"/>
      <c r="BG449" s="69"/>
      <c r="BH449" s="69"/>
      <c r="BI449" s="69"/>
      <c r="BJ449" s="69"/>
      <c r="BK449" s="69"/>
      <c r="BL449" s="69"/>
      <c r="BM449" s="69"/>
      <c r="BN449" s="69"/>
      <c r="BO449" s="69"/>
      <c r="BP449" s="69"/>
      <c r="BQ449" s="69"/>
      <c r="BR449" s="8"/>
    </row>
    <row r="450" ht="12.0" customHeight="1">
      <c r="A450" s="69"/>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69"/>
      <c r="AS450" s="69"/>
      <c r="AT450" s="69"/>
      <c r="AU450" s="69"/>
      <c r="AV450" s="69"/>
      <c r="AW450" s="69"/>
      <c r="AX450" s="69"/>
      <c r="AY450" s="69"/>
      <c r="AZ450" s="69"/>
      <c r="BA450" s="69"/>
      <c r="BB450" s="69"/>
      <c r="BC450" s="69"/>
      <c r="BD450" s="69"/>
      <c r="BE450" s="69"/>
      <c r="BF450" s="69"/>
      <c r="BG450" s="69"/>
      <c r="BH450" s="69"/>
      <c r="BI450" s="69"/>
      <c r="BJ450" s="69"/>
      <c r="BK450" s="69"/>
      <c r="BL450" s="69"/>
      <c r="BM450" s="69"/>
      <c r="BN450" s="69"/>
      <c r="BO450" s="69"/>
      <c r="BP450" s="69"/>
      <c r="BQ450" s="69"/>
      <c r="BR450" s="8"/>
    </row>
    <row r="451" ht="12.0" customHeight="1">
      <c r="A451" s="69"/>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69"/>
      <c r="AS451" s="69"/>
      <c r="AT451" s="69"/>
      <c r="AU451" s="69"/>
      <c r="AV451" s="69"/>
      <c r="AW451" s="69"/>
      <c r="AX451" s="69"/>
      <c r="AY451" s="69"/>
      <c r="AZ451" s="69"/>
      <c r="BA451" s="69"/>
      <c r="BB451" s="69"/>
      <c r="BC451" s="69"/>
      <c r="BD451" s="69"/>
      <c r="BE451" s="69"/>
      <c r="BF451" s="69"/>
      <c r="BG451" s="69"/>
      <c r="BH451" s="69"/>
      <c r="BI451" s="69"/>
      <c r="BJ451" s="69"/>
      <c r="BK451" s="69"/>
      <c r="BL451" s="69"/>
      <c r="BM451" s="69"/>
      <c r="BN451" s="69"/>
      <c r="BO451" s="69"/>
      <c r="BP451" s="69"/>
      <c r="BQ451" s="69"/>
      <c r="BR451" s="8"/>
    </row>
    <row r="452" ht="12.0" customHeight="1">
      <c r="A452" s="69"/>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69"/>
      <c r="AS452" s="69"/>
      <c r="AT452" s="69"/>
      <c r="AU452" s="69"/>
      <c r="AV452" s="69"/>
      <c r="AW452" s="69"/>
      <c r="AX452" s="69"/>
      <c r="AY452" s="69"/>
      <c r="AZ452" s="69"/>
      <c r="BA452" s="69"/>
      <c r="BB452" s="69"/>
      <c r="BC452" s="69"/>
      <c r="BD452" s="69"/>
      <c r="BE452" s="69"/>
      <c r="BF452" s="69"/>
      <c r="BG452" s="69"/>
      <c r="BH452" s="69"/>
      <c r="BI452" s="69"/>
      <c r="BJ452" s="69"/>
      <c r="BK452" s="69"/>
      <c r="BL452" s="69"/>
      <c r="BM452" s="69"/>
      <c r="BN452" s="69"/>
      <c r="BO452" s="69"/>
      <c r="BP452" s="69"/>
      <c r="BQ452" s="69"/>
      <c r="BR452" s="8"/>
    </row>
    <row r="453" ht="12.0" customHeight="1">
      <c r="A453" s="69"/>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69"/>
      <c r="AS453" s="69"/>
      <c r="AT453" s="69"/>
      <c r="AU453" s="69"/>
      <c r="AV453" s="69"/>
      <c r="AW453" s="69"/>
      <c r="AX453" s="69"/>
      <c r="AY453" s="69"/>
      <c r="AZ453" s="69"/>
      <c r="BA453" s="69"/>
      <c r="BB453" s="69"/>
      <c r="BC453" s="69"/>
      <c r="BD453" s="69"/>
      <c r="BE453" s="69"/>
      <c r="BF453" s="69"/>
      <c r="BG453" s="69"/>
      <c r="BH453" s="69"/>
      <c r="BI453" s="69"/>
      <c r="BJ453" s="69"/>
      <c r="BK453" s="69"/>
      <c r="BL453" s="69"/>
      <c r="BM453" s="69"/>
      <c r="BN453" s="69"/>
      <c r="BO453" s="69"/>
      <c r="BP453" s="69"/>
      <c r="BQ453" s="69"/>
      <c r="BR453" s="8"/>
    </row>
    <row r="454" ht="12.0" customHeight="1">
      <c r="A454" s="69"/>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69"/>
      <c r="AS454" s="69"/>
      <c r="AT454" s="69"/>
      <c r="AU454" s="69"/>
      <c r="AV454" s="69"/>
      <c r="AW454" s="69"/>
      <c r="AX454" s="69"/>
      <c r="AY454" s="69"/>
      <c r="AZ454" s="69"/>
      <c r="BA454" s="69"/>
      <c r="BB454" s="69"/>
      <c r="BC454" s="69"/>
      <c r="BD454" s="69"/>
      <c r="BE454" s="69"/>
      <c r="BF454" s="69"/>
      <c r="BG454" s="69"/>
      <c r="BH454" s="69"/>
      <c r="BI454" s="69"/>
      <c r="BJ454" s="69"/>
      <c r="BK454" s="69"/>
      <c r="BL454" s="69"/>
      <c r="BM454" s="69"/>
      <c r="BN454" s="69"/>
      <c r="BO454" s="69"/>
      <c r="BP454" s="69"/>
      <c r="BQ454" s="69"/>
      <c r="BR454" s="8"/>
    </row>
    <row r="455" ht="12.0" customHeight="1">
      <c r="A455" s="69"/>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69"/>
      <c r="AS455" s="69"/>
      <c r="AT455" s="69"/>
      <c r="AU455" s="69"/>
      <c r="AV455" s="69"/>
      <c r="AW455" s="69"/>
      <c r="AX455" s="69"/>
      <c r="AY455" s="69"/>
      <c r="AZ455" s="69"/>
      <c r="BA455" s="69"/>
      <c r="BB455" s="69"/>
      <c r="BC455" s="69"/>
      <c r="BD455" s="69"/>
      <c r="BE455" s="69"/>
      <c r="BF455" s="69"/>
      <c r="BG455" s="69"/>
      <c r="BH455" s="69"/>
      <c r="BI455" s="69"/>
      <c r="BJ455" s="69"/>
      <c r="BK455" s="69"/>
      <c r="BL455" s="69"/>
      <c r="BM455" s="69"/>
      <c r="BN455" s="69"/>
      <c r="BO455" s="69"/>
      <c r="BP455" s="69"/>
      <c r="BQ455" s="69"/>
      <c r="BR455" s="8"/>
    </row>
    <row r="456" ht="12.0" customHeight="1">
      <c r="A456" s="69"/>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69"/>
      <c r="AS456" s="69"/>
      <c r="AT456" s="69"/>
      <c r="AU456" s="69"/>
      <c r="AV456" s="69"/>
      <c r="AW456" s="69"/>
      <c r="AX456" s="69"/>
      <c r="AY456" s="69"/>
      <c r="AZ456" s="69"/>
      <c r="BA456" s="69"/>
      <c r="BB456" s="69"/>
      <c r="BC456" s="69"/>
      <c r="BD456" s="69"/>
      <c r="BE456" s="69"/>
      <c r="BF456" s="69"/>
      <c r="BG456" s="69"/>
      <c r="BH456" s="69"/>
      <c r="BI456" s="69"/>
      <c r="BJ456" s="69"/>
      <c r="BK456" s="69"/>
      <c r="BL456" s="69"/>
      <c r="BM456" s="69"/>
      <c r="BN456" s="69"/>
      <c r="BO456" s="69"/>
      <c r="BP456" s="69"/>
      <c r="BQ456" s="69"/>
      <c r="BR456" s="8"/>
    </row>
    <row r="457" ht="12.0" customHeight="1">
      <c r="A457" s="69"/>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69"/>
      <c r="AS457" s="69"/>
      <c r="AT457" s="69"/>
      <c r="AU457" s="69"/>
      <c r="AV457" s="69"/>
      <c r="AW457" s="69"/>
      <c r="AX457" s="69"/>
      <c r="AY457" s="69"/>
      <c r="AZ457" s="69"/>
      <c r="BA457" s="69"/>
      <c r="BB457" s="69"/>
      <c r="BC457" s="69"/>
      <c r="BD457" s="69"/>
      <c r="BE457" s="69"/>
      <c r="BF457" s="69"/>
      <c r="BG457" s="69"/>
      <c r="BH457" s="69"/>
      <c r="BI457" s="69"/>
      <c r="BJ457" s="69"/>
      <c r="BK457" s="69"/>
      <c r="BL457" s="69"/>
      <c r="BM457" s="69"/>
      <c r="BN457" s="69"/>
      <c r="BO457" s="69"/>
      <c r="BP457" s="69"/>
      <c r="BQ457" s="69"/>
      <c r="BR457" s="8"/>
    </row>
    <row r="458" ht="12.0" customHeight="1">
      <c r="A458" s="69"/>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69"/>
      <c r="AS458" s="69"/>
      <c r="AT458" s="69"/>
      <c r="AU458" s="69"/>
      <c r="AV458" s="69"/>
      <c r="AW458" s="69"/>
      <c r="AX458" s="69"/>
      <c r="AY458" s="69"/>
      <c r="AZ458" s="69"/>
      <c r="BA458" s="69"/>
      <c r="BB458" s="69"/>
      <c r="BC458" s="69"/>
      <c r="BD458" s="69"/>
      <c r="BE458" s="69"/>
      <c r="BF458" s="69"/>
      <c r="BG458" s="69"/>
      <c r="BH458" s="69"/>
      <c r="BI458" s="69"/>
      <c r="BJ458" s="69"/>
      <c r="BK458" s="69"/>
      <c r="BL458" s="69"/>
      <c r="BM458" s="69"/>
      <c r="BN458" s="69"/>
      <c r="BO458" s="69"/>
      <c r="BP458" s="69"/>
      <c r="BQ458" s="69"/>
      <c r="BR458" s="8"/>
    </row>
    <row r="459" ht="12.0" customHeight="1">
      <c r="A459" s="69"/>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69"/>
      <c r="AS459" s="69"/>
      <c r="AT459" s="69"/>
      <c r="AU459" s="69"/>
      <c r="AV459" s="69"/>
      <c r="AW459" s="69"/>
      <c r="AX459" s="69"/>
      <c r="AY459" s="69"/>
      <c r="AZ459" s="69"/>
      <c r="BA459" s="69"/>
      <c r="BB459" s="69"/>
      <c r="BC459" s="69"/>
      <c r="BD459" s="69"/>
      <c r="BE459" s="69"/>
      <c r="BF459" s="69"/>
      <c r="BG459" s="69"/>
      <c r="BH459" s="69"/>
      <c r="BI459" s="69"/>
      <c r="BJ459" s="69"/>
      <c r="BK459" s="69"/>
      <c r="BL459" s="69"/>
      <c r="BM459" s="69"/>
      <c r="BN459" s="69"/>
      <c r="BO459" s="69"/>
      <c r="BP459" s="69"/>
      <c r="BQ459" s="69"/>
      <c r="BR459" s="8"/>
    </row>
    <row r="460" ht="12.0" customHeight="1">
      <c r="A460" s="69"/>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69"/>
      <c r="AS460" s="69"/>
      <c r="AT460" s="69"/>
      <c r="AU460" s="69"/>
      <c r="AV460" s="69"/>
      <c r="AW460" s="69"/>
      <c r="AX460" s="69"/>
      <c r="AY460" s="69"/>
      <c r="AZ460" s="69"/>
      <c r="BA460" s="69"/>
      <c r="BB460" s="69"/>
      <c r="BC460" s="69"/>
      <c r="BD460" s="69"/>
      <c r="BE460" s="69"/>
      <c r="BF460" s="69"/>
      <c r="BG460" s="69"/>
      <c r="BH460" s="69"/>
      <c r="BI460" s="69"/>
      <c r="BJ460" s="69"/>
      <c r="BK460" s="69"/>
      <c r="BL460" s="69"/>
      <c r="BM460" s="69"/>
      <c r="BN460" s="69"/>
      <c r="BO460" s="69"/>
      <c r="BP460" s="69"/>
      <c r="BQ460" s="69"/>
      <c r="BR460" s="8"/>
    </row>
    <row r="461" ht="12.0" customHeight="1">
      <c r="A461" s="69"/>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69"/>
      <c r="AS461" s="69"/>
      <c r="AT461" s="69"/>
      <c r="AU461" s="69"/>
      <c r="AV461" s="69"/>
      <c r="AW461" s="69"/>
      <c r="AX461" s="69"/>
      <c r="AY461" s="69"/>
      <c r="AZ461" s="69"/>
      <c r="BA461" s="69"/>
      <c r="BB461" s="69"/>
      <c r="BC461" s="69"/>
      <c r="BD461" s="69"/>
      <c r="BE461" s="69"/>
      <c r="BF461" s="69"/>
      <c r="BG461" s="69"/>
      <c r="BH461" s="69"/>
      <c r="BI461" s="69"/>
      <c r="BJ461" s="69"/>
      <c r="BK461" s="69"/>
      <c r="BL461" s="69"/>
      <c r="BM461" s="69"/>
      <c r="BN461" s="69"/>
      <c r="BO461" s="69"/>
      <c r="BP461" s="69"/>
      <c r="BQ461" s="69"/>
      <c r="BR461" s="8"/>
    </row>
    <row r="462" ht="12.0" customHeight="1">
      <c r="A462" s="69"/>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69"/>
      <c r="AS462" s="69"/>
      <c r="AT462" s="69"/>
      <c r="AU462" s="69"/>
      <c r="AV462" s="69"/>
      <c r="AW462" s="69"/>
      <c r="AX462" s="69"/>
      <c r="AY462" s="69"/>
      <c r="AZ462" s="69"/>
      <c r="BA462" s="69"/>
      <c r="BB462" s="69"/>
      <c r="BC462" s="69"/>
      <c r="BD462" s="69"/>
      <c r="BE462" s="69"/>
      <c r="BF462" s="69"/>
      <c r="BG462" s="69"/>
      <c r="BH462" s="69"/>
      <c r="BI462" s="69"/>
      <c r="BJ462" s="69"/>
      <c r="BK462" s="69"/>
      <c r="BL462" s="69"/>
      <c r="BM462" s="69"/>
      <c r="BN462" s="69"/>
      <c r="BO462" s="69"/>
      <c r="BP462" s="69"/>
      <c r="BQ462" s="69"/>
      <c r="BR462" s="8"/>
    </row>
    <row r="463" ht="12.0" customHeight="1">
      <c r="A463" s="69"/>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69"/>
      <c r="AS463" s="69"/>
      <c r="AT463" s="69"/>
      <c r="AU463" s="69"/>
      <c r="AV463" s="69"/>
      <c r="AW463" s="69"/>
      <c r="AX463" s="69"/>
      <c r="AY463" s="69"/>
      <c r="AZ463" s="69"/>
      <c r="BA463" s="69"/>
      <c r="BB463" s="69"/>
      <c r="BC463" s="69"/>
      <c r="BD463" s="69"/>
      <c r="BE463" s="69"/>
      <c r="BF463" s="69"/>
      <c r="BG463" s="69"/>
      <c r="BH463" s="69"/>
      <c r="BI463" s="69"/>
      <c r="BJ463" s="69"/>
      <c r="BK463" s="69"/>
      <c r="BL463" s="69"/>
      <c r="BM463" s="69"/>
      <c r="BN463" s="69"/>
      <c r="BO463" s="69"/>
      <c r="BP463" s="69"/>
      <c r="BQ463" s="69"/>
      <c r="BR463" s="8"/>
    </row>
    <row r="464" ht="12.0" customHeight="1">
      <c r="A464" s="69"/>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69"/>
      <c r="AS464" s="69"/>
      <c r="AT464" s="69"/>
      <c r="AU464" s="69"/>
      <c r="AV464" s="69"/>
      <c r="AW464" s="69"/>
      <c r="AX464" s="69"/>
      <c r="AY464" s="69"/>
      <c r="AZ464" s="69"/>
      <c r="BA464" s="69"/>
      <c r="BB464" s="69"/>
      <c r="BC464" s="69"/>
      <c r="BD464" s="69"/>
      <c r="BE464" s="69"/>
      <c r="BF464" s="69"/>
      <c r="BG464" s="69"/>
      <c r="BH464" s="69"/>
      <c r="BI464" s="69"/>
      <c r="BJ464" s="69"/>
      <c r="BK464" s="69"/>
      <c r="BL464" s="69"/>
      <c r="BM464" s="69"/>
      <c r="BN464" s="69"/>
      <c r="BO464" s="69"/>
      <c r="BP464" s="69"/>
      <c r="BQ464" s="69"/>
      <c r="BR464" s="8"/>
    </row>
    <row r="465" ht="12.0" customHeight="1">
      <c r="A465" s="69"/>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69"/>
      <c r="AS465" s="69"/>
      <c r="AT465" s="69"/>
      <c r="AU465" s="69"/>
      <c r="AV465" s="69"/>
      <c r="AW465" s="69"/>
      <c r="AX465" s="69"/>
      <c r="AY465" s="69"/>
      <c r="AZ465" s="69"/>
      <c r="BA465" s="69"/>
      <c r="BB465" s="69"/>
      <c r="BC465" s="69"/>
      <c r="BD465" s="69"/>
      <c r="BE465" s="69"/>
      <c r="BF465" s="69"/>
      <c r="BG465" s="69"/>
      <c r="BH465" s="69"/>
      <c r="BI465" s="69"/>
      <c r="BJ465" s="69"/>
      <c r="BK465" s="69"/>
      <c r="BL465" s="69"/>
      <c r="BM465" s="69"/>
      <c r="BN465" s="69"/>
      <c r="BO465" s="69"/>
      <c r="BP465" s="69"/>
      <c r="BQ465" s="69"/>
      <c r="BR465" s="8"/>
    </row>
    <row r="466" ht="12.0" customHeight="1">
      <c r="A466" s="69"/>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69"/>
      <c r="AS466" s="69"/>
      <c r="AT466" s="69"/>
      <c r="AU466" s="69"/>
      <c r="AV466" s="69"/>
      <c r="AW466" s="69"/>
      <c r="AX466" s="69"/>
      <c r="AY466" s="69"/>
      <c r="AZ466" s="69"/>
      <c r="BA466" s="69"/>
      <c r="BB466" s="69"/>
      <c r="BC466" s="69"/>
      <c r="BD466" s="69"/>
      <c r="BE466" s="69"/>
      <c r="BF466" s="69"/>
      <c r="BG466" s="69"/>
      <c r="BH466" s="69"/>
      <c r="BI466" s="69"/>
      <c r="BJ466" s="69"/>
      <c r="BK466" s="69"/>
      <c r="BL466" s="69"/>
      <c r="BM466" s="69"/>
      <c r="BN466" s="69"/>
      <c r="BO466" s="69"/>
      <c r="BP466" s="69"/>
      <c r="BQ466" s="69"/>
      <c r="BR466" s="8"/>
    </row>
    <row r="467" ht="12.0" customHeight="1">
      <c r="A467" s="69"/>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69"/>
      <c r="AS467" s="69"/>
      <c r="AT467" s="69"/>
      <c r="AU467" s="69"/>
      <c r="AV467" s="69"/>
      <c r="AW467" s="69"/>
      <c r="AX467" s="69"/>
      <c r="AY467" s="69"/>
      <c r="AZ467" s="69"/>
      <c r="BA467" s="69"/>
      <c r="BB467" s="69"/>
      <c r="BC467" s="69"/>
      <c r="BD467" s="69"/>
      <c r="BE467" s="69"/>
      <c r="BF467" s="69"/>
      <c r="BG467" s="69"/>
      <c r="BH467" s="69"/>
      <c r="BI467" s="69"/>
      <c r="BJ467" s="69"/>
      <c r="BK467" s="69"/>
      <c r="BL467" s="69"/>
      <c r="BM467" s="69"/>
      <c r="BN467" s="69"/>
      <c r="BO467" s="69"/>
      <c r="BP467" s="69"/>
      <c r="BQ467" s="69"/>
      <c r="BR467" s="8"/>
    </row>
    <row r="468" ht="12.0" customHeight="1">
      <c r="A468" s="69"/>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69"/>
      <c r="AS468" s="69"/>
      <c r="AT468" s="69"/>
      <c r="AU468" s="69"/>
      <c r="AV468" s="69"/>
      <c r="AW468" s="69"/>
      <c r="AX468" s="69"/>
      <c r="AY468" s="69"/>
      <c r="AZ468" s="69"/>
      <c r="BA468" s="69"/>
      <c r="BB468" s="69"/>
      <c r="BC468" s="69"/>
      <c r="BD468" s="69"/>
      <c r="BE468" s="69"/>
      <c r="BF468" s="69"/>
      <c r="BG468" s="69"/>
      <c r="BH468" s="69"/>
      <c r="BI468" s="69"/>
      <c r="BJ468" s="69"/>
      <c r="BK468" s="69"/>
      <c r="BL468" s="69"/>
      <c r="BM468" s="69"/>
      <c r="BN468" s="69"/>
      <c r="BO468" s="69"/>
      <c r="BP468" s="69"/>
      <c r="BQ468" s="69"/>
      <c r="BR468" s="8"/>
    </row>
    <row r="469" ht="12.0" customHeight="1">
      <c r="A469" s="69"/>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69"/>
      <c r="AS469" s="69"/>
      <c r="AT469" s="69"/>
      <c r="AU469" s="69"/>
      <c r="AV469" s="69"/>
      <c r="AW469" s="69"/>
      <c r="AX469" s="69"/>
      <c r="AY469" s="69"/>
      <c r="AZ469" s="69"/>
      <c r="BA469" s="69"/>
      <c r="BB469" s="69"/>
      <c r="BC469" s="69"/>
      <c r="BD469" s="69"/>
      <c r="BE469" s="69"/>
      <c r="BF469" s="69"/>
      <c r="BG469" s="69"/>
      <c r="BH469" s="69"/>
      <c r="BI469" s="69"/>
      <c r="BJ469" s="69"/>
      <c r="BK469" s="69"/>
      <c r="BL469" s="69"/>
      <c r="BM469" s="69"/>
      <c r="BN469" s="69"/>
      <c r="BO469" s="69"/>
      <c r="BP469" s="69"/>
      <c r="BQ469" s="69"/>
      <c r="BR469" s="8"/>
    </row>
    <row r="470" ht="12.0" customHeight="1">
      <c r="A470" s="69"/>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69"/>
      <c r="AS470" s="69"/>
      <c r="AT470" s="69"/>
      <c r="AU470" s="69"/>
      <c r="AV470" s="69"/>
      <c r="AW470" s="69"/>
      <c r="AX470" s="69"/>
      <c r="AY470" s="69"/>
      <c r="AZ470" s="69"/>
      <c r="BA470" s="69"/>
      <c r="BB470" s="69"/>
      <c r="BC470" s="69"/>
      <c r="BD470" s="69"/>
      <c r="BE470" s="69"/>
      <c r="BF470" s="69"/>
      <c r="BG470" s="69"/>
      <c r="BH470" s="69"/>
      <c r="BI470" s="69"/>
      <c r="BJ470" s="69"/>
      <c r="BK470" s="69"/>
      <c r="BL470" s="69"/>
      <c r="BM470" s="69"/>
      <c r="BN470" s="69"/>
      <c r="BO470" s="69"/>
      <c r="BP470" s="69"/>
      <c r="BQ470" s="69"/>
      <c r="BR470" s="8"/>
    </row>
    <row r="471" ht="12.0" customHeight="1">
      <c r="A471" s="69"/>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69"/>
      <c r="AS471" s="69"/>
      <c r="AT471" s="69"/>
      <c r="AU471" s="69"/>
      <c r="AV471" s="69"/>
      <c r="AW471" s="69"/>
      <c r="AX471" s="69"/>
      <c r="AY471" s="69"/>
      <c r="AZ471" s="69"/>
      <c r="BA471" s="69"/>
      <c r="BB471" s="69"/>
      <c r="BC471" s="69"/>
      <c r="BD471" s="69"/>
      <c r="BE471" s="69"/>
      <c r="BF471" s="69"/>
      <c r="BG471" s="69"/>
      <c r="BH471" s="69"/>
      <c r="BI471" s="69"/>
      <c r="BJ471" s="69"/>
      <c r="BK471" s="69"/>
      <c r="BL471" s="69"/>
      <c r="BM471" s="69"/>
      <c r="BN471" s="69"/>
      <c r="BO471" s="69"/>
      <c r="BP471" s="69"/>
      <c r="BQ471" s="69"/>
      <c r="BR471" s="8"/>
    </row>
    <row r="472" ht="12.0" customHeight="1">
      <c r="A472" s="69"/>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69"/>
      <c r="AS472" s="69"/>
      <c r="AT472" s="69"/>
      <c r="AU472" s="69"/>
      <c r="AV472" s="69"/>
      <c r="AW472" s="69"/>
      <c r="AX472" s="69"/>
      <c r="AY472" s="69"/>
      <c r="AZ472" s="69"/>
      <c r="BA472" s="69"/>
      <c r="BB472" s="69"/>
      <c r="BC472" s="69"/>
      <c r="BD472" s="69"/>
      <c r="BE472" s="69"/>
      <c r="BF472" s="69"/>
      <c r="BG472" s="69"/>
      <c r="BH472" s="69"/>
      <c r="BI472" s="69"/>
      <c r="BJ472" s="69"/>
      <c r="BK472" s="69"/>
      <c r="BL472" s="69"/>
      <c r="BM472" s="69"/>
      <c r="BN472" s="69"/>
      <c r="BO472" s="69"/>
      <c r="BP472" s="69"/>
      <c r="BQ472" s="69"/>
      <c r="BR472" s="8"/>
    </row>
    <row r="473" ht="12.0" customHeight="1">
      <c r="A473" s="69"/>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69"/>
      <c r="AS473" s="69"/>
      <c r="AT473" s="69"/>
      <c r="AU473" s="69"/>
      <c r="AV473" s="69"/>
      <c r="AW473" s="69"/>
      <c r="AX473" s="69"/>
      <c r="AY473" s="69"/>
      <c r="AZ473" s="69"/>
      <c r="BA473" s="69"/>
      <c r="BB473" s="69"/>
      <c r="BC473" s="69"/>
      <c r="BD473" s="69"/>
      <c r="BE473" s="69"/>
      <c r="BF473" s="69"/>
      <c r="BG473" s="69"/>
      <c r="BH473" s="69"/>
      <c r="BI473" s="69"/>
      <c r="BJ473" s="69"/>
      <c r="BK473" s="69"/>
      <c r="BL473" s="69"/>
      <c r="BM473" s="69"/>
      <c r="BN473" s="69"/>
      <c r="BO473" s="69"/>
      <c r="BP473" s="69"/>
      <c r="BQ473" s="69"/>
      <c r="BR473" s="8"/>
    </row>
    <row r="474" ht="12.0" customHeight="1">
      <c r="A474" s="69"/>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69"/>
      <c r="AS474" s="69"/>
      <c r="AT474" s="69"/>
      <c r="AU474" s="69"/>
      <c r="AV474" s="69"/>
      <c r="AW474" s="69"/>
      <c r="AX474" s="69"/>
      <c r="AY474" s="69"/>
      <c r="AZ474" s="69"/>
      <c r="BA474" s="69"/>
      <c r="BB474" s="69"/>
      <c r="BC474" s="69"/>
      <c r="BD474" s="69"/>
      <c r="BE474" s="69"/>
      <c r="BF474" s="69"/>
      <c r="BG474" s="69"/>
      <c r="BH474" s="69"/>
      <c r="BI474" s="69"/>
      <c r="BJ474" s="69"/>
      <c r="BK474" s="69"/>
      <c r="BL474" s="69"/>
      <c r="BM474" s="69"/>
      <c r="BN474" s="69"/>
      <c r="BO474" s="69"/>
      <c r="BP474" s="69"/>
      <c r="BQ474" s="69"/>
      <c r="BR474" s="8"/>
    </row>
    <row r="475" ht="12.0" customHeight="1">
      <c r="A475" s="69"/>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69"/>
      <c r="AS475" s="69"/>
      <c r="AT475" s="69"/>
      <c r="AU475" s="69"/>
      <c r="AV475" s="69"/>
      <c r="AW475" s="69"/>
      <c r="AX475" s="69"/>
      <c r="AY475" s="69"/>
      <c r="AZ475" s="69"/>
      <c r="BA475" s="69"/>
      <c r="BB475" s="69"/>
      <c r="BC475" s="69"/>
      <c r="BD475" s="69"/>
      <c r="BE475" s="69"/>
      <c r="BF475" s="69"/>
      <c r="BG475" s="69"/>
      <c r="BH475" s="69"/>
      <c r="BI475" s="69"/>
      <c r="BJ475" s="69"/>
      <c r="BK475" s="69"/>
      <c r="BL475" s="69"/>
      <c r="BM475" s="69"/>
      <c r="BN475" s="69"/>
      <c r="BO475" s="69"/>
      <c r="BP475" s="69"/>
      <c r="BQ475" s="69"/>
      <c r="BR475" s="8"/>
    </row>
    <row r="476" ht="12.0" customHeight="1">
      <c r="A476" s="69"/>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69"/>
      <c r="AS476" s="69"/>
      <c r="AT476" s="69"/>
      <c r="AU476" s="69"/>
      <c r="AV476" s="69"/>
      <c r="AW476" s="69"/>
      <c r="AX476" s="69"/>
      <c r="AY476" s="69"/>
      <c r="AZ476" s="69"/>
      <c r="BA476" s="69"/>
      <c r="BB476" s="69"/>
      <c r="BC476" s="69"/>
      <c r="BD476" s="69"/>
      <c r="BE476" s="69"/>
      <c r="BF476" s="69"/>
      <c r="BG476" s="69"/>
      <c r="BH476" s="69"/>
      <c r="BI476" s="69"/>
      <c r="BJ476" s="69"/>
      <c r="BK476" s="69"/>
      <c r="BL476" s="69"/>
      <c r="BM476" s="69"/>
      <c r="BN476" s="69"/>
      <c r="BO476" s="69"/>
      <c r="BP476" s="69"/>
      <c r="BQ476" s="69"/>
      <c r="BR476" s="8"/>
    </row>
    <row r="477" ht="12.0" customHeight="1">
      <c r="A477" s="69"/>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69"/>
      <c r="AS477" s="69"/>
      <c r="AT477" s="69"/>
      <c r="AU477" s="69"/>
      <c r="AV477" s="69"/>
      <c r="AW477" s="69"/>
      <c r="AX477" s="69"/>
      <c r="AY477" s="69"/>
      <c r="AZ477" s="69"/>
      <c r="BA477" s="69"/>
      <c r="BB477" s="69"/>
      <c r="BC477" s="69"/>
      <c r="BD477" s="69"/>
      <c r="BE477" s="69"/>
      <c r="BF477" s="69"/>
      <c r="BG477" s="69"/>
      <c r="BH477" s="69"/>
      <c r="BI477" s="69"/>
      <c r="BJ477" s="69"/>
      <c r="BK477" s="69"/>
      <c r="BL477" s="69"/>
      <c r="BM477" s="69"/>
      <c r="BN477" s="69"/>
      <c r="BO477" s="69"/>
      <c r="BP477" s="69"/>
      <c r="BQ477" s="69"/>
      <c r="BR477" s="8"/>
    </row>
    <row r="478" ht="12.0" customHeight="1">
      <c r="A478" s="69"/>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69"/>
      <c r="AS478" s="69"/>
      <c r="AT478" s="69"/>
      <c r="AU478" s="69"/>
      <c r="AV478" s="69"/>
      <c r="AW478" s="69"/>
      <c r="AX478" s="69"/>
      <c r="AY478" s="69"/>
      <c r="AZ478" s="69"/>
      <c r="BA478" s="69"/>
      <c r="BB478" s="69"/>
      <c r="BC478" s="69"/>
      <c r="BD478" s="69"/>
      <c r="BE478" s="69"/>
      <c r="BF478" s="69"/>
      <c r="BG478" s="69"/>
      <c r="BH478" s="69"/>
      <c r="BI478" s="69"/>
      <c r="BJ478" s="69"/>
      <c r="BK478" s="69"/>
      <c r="BL478" s="69"/>
      <c r="BM478" s="69"/>
      <c r="BN478" s="69"/>
      <c r="BO478" s="69"/>
      <c r="BP478" s="69"/>
      <c r="BQ478" s="69"/>
      <c r="BR478" s="8"/>
    </row>
    <row r="479" ht="12.0" customHeight="1">
      <c r="A479" s="69"/>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69"/>
      <c r="AS479" s="69"/>
      <c r="AT479" s="69"/>
      <c r="AU479" s="69"/>
      <c r="AV479" s="69"/>
      <c r="AW479" s="69"/>
      <c r="AX479" s="69"/>
      <c r="AY479" s="69"/>
      <c r="AZ479" s="69"/>
      <c r="BA479" s="69"/>
      <c r="BB479" s="69"/>
      <c r="BC479" s="69"/>
      <c r="BD479" s="69"/>
      <c r="BE479" s="69"/>
      <c r="BF479" s="69"/>
      <c r="BG479" s="69"/>
      <c r="BH479" s="69"/>
      <c r="BI479" s="69"/>
      <c r="BJ479" s="69"/>
      <c r="BK479" s="69"/>
      <c r="BL479" s="69"/>
      <c r="BM479" s="69"/>
      <c r="BN479" s="69"/>
      <c r="BO479" s="69"/>
      <c r="BP479" s="69"/>
      <c r="BQ479" s="69"/>
      <c r="BR479" s="8"/>
    </row>
    <row r="480" ht="12.0" customHeight="1">
      <c r="A480" s="69"/>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69"/>
      <c r="AS480" s="69"/>
      <c r="AT480" s="69"/>
      <c r="AU480" s="69"/>
      <c r="AV480" s="69"/>
      <c r="AW480" s="69"/>
      <c r="AX480" s="69"/>
      <c r="AY480" s="69"/>
      <c r="AZ480" s="69"/>
      <c r="BA480" s="69"/>
      <c r="BB480" s="69"/>
      <c r="BC480" s="69"/>
      <c r="BD480" s="69"/>
      <c r="BE480" s="69"/>
      <c r="BF480" s="69"/>
      <c r="BG480" s="69"/>
      <c r="BH480" s="69"/>
      <c r="BI480" s="69"/>
      <c r="BJ480" s="69"/>
      <c r="BK480" s="69"/>
      <c r="BL480" s="69"/>
      <c r="BM480" s="69"/>
      <c r="BN480" s="69"/>
      <c r="BO480" s="69"/>
      <c r="BP480" s="69"/>
      <c r="BQ480" s="69"/>
      <c r="BR480" s="8"/>
    </row>
    <row r="481" ht="12.0" customHeight="1">
      <c r="A481" s="69"/>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69"/>
      <c r="AS481" s="69"/>
      <c r="AT481" s="69"/>
      <c r="AU481" s="69"/>
      <c r="AV481" s="69"/>
      <c r="AW481" s="69"/>
      <c r="AX481" s="69"/>
      <c r="AY481" s="69"/>
      <c r="AZ481" s="69"/>
      <c r="BA481" s="69"/>
      <c r="BB481" s="69"/>
      <c r="BC481" s="69"/>
      <c r="BD481" s="69"/>
      <c r="BE481" s="69"/>
      <c r="BF481" s="69"/>
      <c r="BG481" s="69"/>
      <c r="BH481" s="69"/>
      <c r="BI481" s="69"/>
      <c r="BJ481" s="69"/>
      <c r="BK481" s="69"/>
      <c r="BL481" s="69"/>
      <c r="BM481" s="69"/>
      <c r="BN481" s="69"/>
      <c r="BO481" s="69"/>
      <c r="BP481" s="69"/>
      <c r="BQ481" s="69"/>
      <c r="BR481" s="8"/>
    </row>
    <row r="482" ht="12.0" customHeight="1">
      <c r="A482" s="69"/>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69"/>
      <c r="AS482" s="69"/>
      <c r="AT482" s="69"/>
      <c r="AU482" s="69"/>
      <c r="AV482" s="69"/>
      <c r="AW482" s="69"/>
      <c r="AX482" s="69"/>
      <c r="AY482" s="69"/>
      <c r="AZ482" s="69"/>
      <c r="BA482" s="69"/>
      <c r="BB482" s="69"/>
      <c r="BC482" s="69"/>
      <c r="BD482" s="69"/>
      <c r="BE482" s="69"/>
      <c r="BF482" s="69"/>
      <c r="BG482" s="69"/>
      <c r="BH482" s="69"/>
      <c r="BI482" s="69"/>
      <c r="BJ482" s="69"/>
      <c r="BK482" s="69"/>
      <c r="BL482" s="69"/>
      <c r="BM482" s="69"/>
      <c r="BN482" s="69"/>
      <c r="BO482" s="69"/>
      <c r="BP482" s="69"/>
      <c r="BQ482" s="69"/>
      <c r="BR482" s="8"/>
    </row>
    <row r="483" ht="12.0" customHeight="1">
      <c r="A483" s="69"/>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69"/>
      <c r="AS483" s="69"/>
      <c r="AT483" s="69"/>
      <c r="AU483" s="69"/>
      <c r="AV483" s="69"/>
      <c r="AW483" s="69"/>
      <c r="AX483" s="69"/>
      <c r="AY483" s="69"/>
      <c r="AZ483" s="69"/>
      <c r="BA483" s="69"/>
      <c r="BB483" s="69"/>
      <c r="BC483" s="69"/>
      <c r="BD483" s="69"/>
      <c r="BE483" s="69"/>
      <c r="BF483" s="69"/>
      <c r="BG483" s="69"/>
      <c r="BH483" s="69"/>
      <c r="BI483" s="69"/>
      <c r="BJ483" s="69"/>
      <c r="BK483" s="69"/>
      <c r="BL483" s="69"/>
      <c r="BM483" s="69"/>
      <c r="BN483" s="69"/>
      <c r="BO483" s="69"/>
      <c r="BP483" s="69"/>
      <c r="BQ483" s="69"/>
      <c r="BR483" s="8"/>
    </row>
    <row r="484" ht="12.0" customHeight="1">
      <c r="A484" s="69"/>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69"/>
      <c r="AS484" s="69"/>
      <c r="AT484" s="69"/>
      <c r="AU484" s="69"/>
      <c r="AV484" s="69"/>
      <c r="AW484" s="69"/>
      <c r="AX484" s="69"/>
      <c r="AY484" s="69"/>
      <c r="AZ484" s="69"/>
      <c r="BA484" s="69"/>
      <c r="BB484" s="69"/>
      <c r="BC484" s="69"/>
      <c r="BD484" s="69"/>
      <c r="BE484" s="69"/>
      <c r="BF484" s="69"/>
      <c r="BG484" s="69"/>
      <c r="BH484" s="69"/>
      <c r="BI484" s="69"/>
      <c r="BJ484" s="69"/>
      <c r="BK484" s="69"/>
      <c r="BL484" s="69"/>
      <c r="BM484" s="69"/>
      <c r="BN484" s="69"/>
      <c r="BO484" s="69"/>
      <c r="BP484" s="69"/>
      <c r="BQ484" s="69"/>
      <c r="BR484" s="8"/>
    </row>
    <row r="485" ht="12.0" customHeight="1">
      <c r="A485" s="69"/>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69"/>
      <c r="AS485" s="69"/>
      <c r="AT485" s="69"/>
      <c r="AU485" s="69"/>
      <c r="AV485" s="69"/>
      <c r="AW485" s="69"/>
      <c r="AX485" s="69"/>
      <c r="AY485" s="69"/>
      <c r="AZ485" s="69"/>
      <c r="BA485" s="69"/>
      <c r="BB485" s="69"/>
      <c r="BC485" s="69"/>
      <c r="BD485" s="69"/>
      <c r="BE485" s="69"/>
      <c r="BF485" s="69"/>
      <c r="BG485" s="69"/>
      <c r="BH485" s="69"/>
      <c r="BI485" s="69"/>
      <c r="BJ485" s="69"/>
      <c r="BK485" s="69"/>
      <c r="BL485" s="69"/>
      <c r="BM485" s="69"/>
      <c r="BN485" s="69"/>
      <c r="BO485" s="69"/>
      <c r="BP485" s="69"/>
      <c r="BQ485" s="69"/>
      <c r="BR485" s="8"/>
    </row>
    <row r="486" ht="12.0" customHeight="1">
      <c r="A486" s="69"/>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69"/>
      <c r="AS486" s="69"/>
      <c r="AT486" s="69"/>
      <c r="AU486" s="69"/>
      <c r="AV486" s="69"/>
      <c r="AW486" s="69"/>
      <c r="AX486" s="69"/>
      <c r="AY486" s="69"/>
      <c r="AZ486" s="69"/>
      <c r="BA486" s="69"/>
      <c r="BB486" s="69"/>
      <c r="BC486" s="69"/>
      <c r="BD486" s="69"/>
      <c r="BE486" s="69"/>
      <c r="BF486" s="69"/>
      <c r="BG486" s="69"/>
      <c r="BH486" s="69"/>
      <c r="BI486" s="69"/>
      <c r="BJ486" s="69"/>
      <c r="BK486" s="69"/>
      <c r="BL486" s="69"/>
      <c r="BM486" s="69"/>
      <c r="BN486" s="69"/>
      <c r="BO486" s="69"/>
      <c r="BP486" s="69"/>
      <c r="BQ486" s="69"/>
      <c r="BR486" s="8"/>
    </row>
    <row r="487" ht="12.0" customHeight="1">
      <c r="A487" s="69"/>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69"/>
      <c r="AS487" s="69"/>
      <c r="AT487" s="69"/>
      <c r="AU487" s="69"/>
      <c r="AV487" s="69"/>
      <c r="AW487" s="69"/>
      <c r="AX487" s="69"/>
      <c r="AY487" s="69"/>
      <c r="AZ487" s="69"/>
      <c r="BA487" s="69"/>
      <c r="BB487" s="69"/>
      <c r="BC487" s="69"/>
      <c r="BD487" s="69"/>
      <c r="BE487" s="69"/>
      <c r="BF487" s="69"/>
      <c r="BG487" s="69"/>
      <c r="BH487" s="69"/>
      <c r="BI487" s="69"/>
      <c r="BJ487" s="69"/>
      <c r="BK487" s="69"/>
      <c r="BL487" s="69"/>
      <c r="BM487" s="69"/>
      <c r="BN487" s="69"/>
      <c r="BO487" s="69"/>
      <c r="BP487" s="69"/>
      <c r="BQ487" s="69"/>
      <c r="BR487" s="8"/>
    </row>
    <row r="488" ht="12.0" customHeight="1">
      <c r="A488" s="69"/>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69"/>
      <c r="AS488" s="69"/>
      <c r="AT488" s="69"/>
      <c r="AU488" s="69"/>
      <c r="AV488" s="69"/>
      <c r="AW488" s="69"/>
      <c r="AX488" s="69"/>
      <c r="AY488" s="69"/>
      <c r="AZ488" s="69"/>
      <c r="BA488" s="69"/>
      <c r="BB488" s="69"/>
      <c r="BC488" s="69"/>
      <c r="BD488" s="69"/>
      <c r="BE488" s="69"/>
      <c r="BF488" s="69"/>
      <c r="BG488" s="69"/>
      <c r="BH488" s="69"/>
      <c r="BI488" s="69"/>
      <c r="BJ488" s="69"/>
      <c r="BK488" s="69"/>
      <c r="BL488" s="69"/>
      <c r="BM488" s="69"/>
      <c r="BN488" s="69"/>
      <c r="BO488" s="69"/>
      <c r="BP488" s="69"/>
      <c r="BQ488" s="69"/>
      <c r="BR488" s="8"/>
    </row>
    <row r="489" ht="12.0" customHeight="1">
      <c r="A489" s="69"/>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69"/>
      <c r="AS489" s="69"/>
      <c r="AT489" s="69"/>
      <c r="AU489" s="69"/>
      <c r="AV489" s="69"/>
      <c r="AW489" s="69"/>
      <c r="AX489" s="69"/>
      <c r="AY489" s="69"/>
      <c r="AZ489" s="69"/>
      <c r="BA489" s="69"/>
      <c r="BB489" s="69"/>
      <c r="BC489" s="69"/>
      <c r="BD489" s="69"/>
      <c r="BE489" s="69"/>
      <c r="BF489" s="69"/>
      <c r="BG489" s="69"/>
      <c r="BH489" s="69"/>
      <c r="BI489" s="69"/>
      <c r="BJ489" s="69"/>
      <c r="BK489" s="69"/>
      <c r="BL489" s="69"/>
      <c r="BM489" s="69"/>
      <c r="BN489" s="69"/>
      <c r="BO489" s="69"/>
      <c r="BP489" s="69"/>
      <c r="BQ489" s="69"/>
      <c r="BR489" s="8"/>
    </row>
    <row r="490" ht="12.0" customHeight="1">
      <c r="A490" s="69"/>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69"/>
      <c r="AS490" s="69"/>
      <c r="AT490" s="69"/>
      <c r="AU490" s="69"/>
      <c r="AV490" s="69"/>
      <c r="AW490" s="69"/>
      <c r="AX490" s="69"/>
      <c r="AY490" s="69"/>
      <c r="AZ490" s="69"/>
      <c r="BA490" s="69"/>
      <c r="BB490" s="69"/>
      <c r="BC490" s="69"/>
      <c r="BD490" s="69"/>
      <c r="BE490" s="69"/>
      <c r="BF490" s="69"/>
      <c r="BG490" s="69"/>
      <c r="BH490" s="69"/>
      <c r="BI490" s="69"/>
      <c r="BJ490" s="69"/>
      <c r="BK490" s="69"/>
      <c r="BL490" s="69"/>
      <c r="BM490" s="69"/>
      <c r="BN490" s="69"/>
      <c r="BO490" s="69"/>
      <c r="BP490" s="69"/>
      <c r="BQ490" s="69"/>
      <c r="BR490" s="8"/>
    </row>
    <row r="491" ht="12.0" customHeight="1">
      <c r="A491" s="69"/>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69"/>
      <c r="AS491" s="69"/>
      <c r="AT491" s="69"/>
      <c r="AU491" s="69"/>
      <c r="AV491" s="69"/>
      <c r="AW491" s="69"/>
      <c r="AX491" s="69"/>
      <c r="AY491" s="69"/>
      <c r="AZ491" s="69"/>
      <c r="BA491" s="69"/>
      <c r="BB491" s="69"/>
      <c r="BC491" s="69"/>
      <c r="BD491" s="69"/>
      <c r="BE491" s="69"/>
      <c r="BF491" s="69"/>
      <c r="BG491" s="69"/>
      <c r="BH491" s="69"/>
      <c r="BI491" s="69"/>
      <c r="BJ491" s="69"/>
      <c r="BK491" s="69"/>
      <c r="BL491" s="69"/>
      <c r="BM491" s="69"/>
      <c r="BN491" s="69"/>
      <c r="BO491" s="69"/>
      <c r="BP491" s="69"/>
      <c r="BQ491" s="69"/>
      <c r="BR491" s="8"/>
    </row>
    <row r="492" ht="12.0" customHeight="1">
      <c r="A492" s="69"/>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69"/>
      <c r="AS492" s="69"/>
      <c r="AT492" s="69"/>
      <c r="AU492" s="69"/>
      <c r="AV492" s="69"/>
      <c r="AW492" s="69"/>
      <c r="AX492" s="69"/>
      <c r="AY492" s="69"/>
      <c r="AZ492" s="69"/>
      <c r="BA492" s="69"/>
      <c r="BB492" s="69"/>
      <c r="BC492" s="69"/>
      <c r="BD492" s="69"/>
      <c r="BE492" s="69"/>
      <c r="BF492" s="69"/>
      <c r="BG492" s="69"/>
      <c r="BH492" s="69"/>
      <c r="BI492" s="69"/>
      <c r="BJ492" s="69"/>
      <c r="BK492" s="69"/>
      <c r="BL492" s="69"/>
      <c r="BM492" s="69"/>
      <c r="BN492" s="69"/>
      <c r="BO492" s="69"/>
      <c r="BP492" s="69"/>
      <c r="BQ492" s="69"/>
      <c r="BR492" s="8"/>
    </row>
    <row r="493" ht="12.0" customHeight="1">
      <c r="A493" s="69"/>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69"/>
      <c r="AS493" s="69"/>
      <c r="AT493" s="69"/>
      <c r="AU493" s="69"/>
      <c r="AV493" s="69"/>
      <c r="AW493" s="69"/>
      <c r="AX493" s="69"/>
      <c r="AY493" s="69"/>
      <c r="AZ493" s="69"/>
      <c r="BA493" s="69"/>
      <c r="BB493" s="69"/>
      <c r="BC493" s="69"/>
      <c r="BD493" s="69"/>
      <c r="BE493" s="69"/>
      <c r="BF493" s="69"/>
      <c r="BG493" s="69"/>
      <c r="BH493" s="69"/>
      <c r="BI493" s="69"/>
      <c r="BJ493" s="69"/>
      <c r="BK493" s="69"/>
      <c r="BL493" s="69"/>
      <c r="BM493" s="69"/>
      <c r="BN493" s="69"/>
      <c r="BO493" s="69"/>
      <c r="BP493" s="69"/>
      <c r="BQ493" s="69"/>
      <c r="BR493" s="8"/>
    </row>
    <row r="494" ht="12.0" customHeight="1">
      <c r="A494" s="69"/>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69"/>
      <c r="AS494" s="69"/>
      <c r="AT494" s="69"/>
      <c r="AU494" s="69"/>
      <c r="AV494" s="69"/>
      <c r="AW494" s="69"/>
      <c r="AX494" s="69"/>
      <c r="AY494" s="69"/>
      <c r="AZ494" s="69"/>
      <c r="BA494" s="69"/>
      <c r="BB494" s="69"/>
      <c r="BC494" s="69"/>
      <c r="BD494" s="69"/>
      <c r="BE494" s="69"/>
      <c r="BF494" s="69"/>
      <c r="BG494" s="69"/>
      <c r="BH494" s="69"/>
      <c r="BI494" s="69"/>
      <c r="BJ494" s="69"/>
      <c r="BK494" s="69"/>
      <c r="BL494" s="69"/>
      <c r="BM494" s="69"/>
      <c r="BN494" s="69"/>
      <c r="BO494" s="69"/>
      <c r="BP494" s="69"/>
      <c r="BQ494" s="69"/>
      <c r="BR494" s="8"/>
    </row>
    <row r="495" ht="12.0" customHeight="1">
      <c r="A495" s="69"/>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69"/>
      <c r="AS495" s="69"/>
      <c r="AT495" s="69"/>
      <c r="AU495" s="69"/>
      <c r="AV495" s="69"/>
      <c r="AW495" s="69"/>
      <c r="AX495" s="69"/>
      <c r="AY495" s="69"/>
      <c r="AZ495" s="69"/>
      <c r="BA495" s="69"/>
      <c r="BB495" s="69"/>
      <c r="BC495" s="69"/>
      <c r="BD495" s="69"/>
      <c r="BE495" s="69"/>
      <c r="BF495" s="69"/>
      <c r="BG495" s="69"/>
      <c r="BH495" s="69"/>
      <c r="BI495" s="69"/>
      <c r="BJ495" s="69"/>
      <c r="BK495" s="69"/>
      <c r="BL495" s="69"/>
      <c r="BM495" s="69"/>
      <c r="BN495" s="69"/>
      <c r="BO495" s="69"/>
      <c r="BP495" s="69"/>
      <c r="BQ495" s="69"/>
      <c r="BR495" s="8"/>
    </row>
    <row r="496" ht="12.0" customHeight="1">
      <c r="A496" s="69"/>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69"/>
      <c r="AS496" s="69"/>
      <c r="AT496" s="69"/>
      <c r="AU496" s="69"/>
      <c r="AV496" s="69"/>
      <c r="AW496" s="69"/>
      <c r="AX496" s="69"/>
      <c r="AY496" s="69"/>
      <c r="AZ496" s="69"/>
      <c r="BA496" s="69"/>
      <c r="BB496" s="69"/>
      <c r="BC496" s="69"/>
      <c r="BD496" s="69"/>
      <c r="BE496" s="69"/>
      <c r="BF496" s="69"/>
      <c r="BG496" s="69"/>
      <c r="BH496" s="69"/>
      <c r="BI496" s="69"/>
      <c r="BJ496" s="69"/>
      <c r="BK496" s="69"/>
      <c r="BL496" s="69"/>
      <c r="BM496" s="69"/>
      <c r="BN496" s="69"/>
      <c r="BO496" s="69"/>
      <c r="BP496" s="69"/>
      <c r="BQ496" s="69"/>
      <c r="BR496" s="8"/>
    </row>
    <row r="497" ht="12.0" customHeight="1">
      <c r="A497" s="69"/>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69"/>
      <c r="AS497" s="69"/>
      <c r="AT497" s="69"/>
      <c r="AU497" s="69"/>
      <c r="AV497" s="69"/>
      <c r="AW497" s="69"/>
      <c r="AX497" s="69"/>
      <c r="AY497" s="69"/>
      <c r="AZ497" s="69"/>
      <c r="BA497" s="69"/>
      <c r="BB497" s="69"/>
      <c r="BC497" s="69"/>
      <c r="BD497" s="69"/>
      <c r="BE497" s="69"/>
      <c r="BF497" s="69"/>
      <c r="BG497" s="69"/>
      <c r="BH497" s="69"/>
      <c r="BI497" s="69"/>
      <c r="BJ497" s="69"/>
      <c r="BK497" s="69"/>
      <c r="BL497" s="69"/>
      <c r="BM497" s="69"/>
      <c r="BN497" s="69"/>
      <c r="BO497" s="69"/>
      <c r="BP497" s="69"/>
      <c r="BQ497" s="69"/>
      <c r="BR497" s="8"/>
    </row>
    <row r="498" ht="12.0" customHeight="1">
      <c r="A498" s="69"/>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69"/>
      <c r="AS498" s="69"/>
      <c r="AT498" s="69"/>
      <c r="AU498" s="69"/>
      <c r="AV498" s="69"/>
      <c r="AW498" s="69"/>
      <c r="AX498" s="69"/>
      <c r="AY498" s="69"/>
      <c r="AZ498" s="69"/>
      <c r="BA498" s="69"/>
      <c r="BB498" s="69"/>
      <c r="BC498" s="69"/>
      <c r="BD498" s="69"/>
      <c r="BE498" s="69"/>
      <c r="BF498" s="69"/>
      <c r="BG498" s="69"/>
      <c r="BH498" s="69"/>
      <c r="BI498" s="69"/>
      <c r="BJ498" s="69"/>
      <c r="BK498" s="69"/>
      <c r="BL498" s="69"/>
      <c r="BM498" s="69"/>
      <c r="BN498" s="69"/>
      <c r="BO498" s="69"/>
      <c r="BP498" s="69"/>
      <c r="BQ498" s="69"/>
      <c r="BR498" s="8"/>
    </row>
    <row r="499" ht="12.0" customHeight="1">
      <c r="A499" s="69"/>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69"/>
      <c r="AS499" s="69"/>
      <c r="AT499" s="69"/>
      <c r="AU499" s="69"/>
      <c r="AV499" s="69"/>
      <c r="AW499" s="69"/>
      <c r="AX499" s="69"/>
      <c r="AY499" s="69"/>
      <c r="AZ499" s="69"/>
      <c r="BA499" s="69"/>
      <c r="BB499" s="69"/>
      <c r="BC499" s="69"/>
      <c r="BD499" s="69"/>
      <c r="BE499" s="69"/>
      <c r="BF499" s="69"/>
      <c r="BG499" s="69"/>
      <c r="BH499" s="69"/>
      <c r="BI499" s="69"/>
      <c r="BJ499" s="69"/>
      <c r="BK499" s="69"/>
      <c r="BL499" s="69"/>
      <c r="BM499" s="69"/>
      <c r="BN499" s="69"/>
      <c r="BO499" s="69"/>
      <c r="BP499" s="69"/>
      <c r="BQ499" s="69"/>
      <c r="BR499" s="8"/>
    </row>
    <row r="500" ht="12.0" customHeight="1">
      <c r="A500" s="69"/>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69"/>
      <c r="AS500" s="69"/>
      <c r="AT500" s="69"/>
      <c r="AU500" s="69"/>
      <c r="AV500" s="69"/>
      <c r="AW500" s="69"/>
      <c r="AX500" s="69"/>
      <c r="AY500" s="69"/>
      <c r="AZ500" s="69"/>
      <c r="BA500" s="69"/>
      <c r="BB500" s="69"/>
      <c r="BC500" s="69"/>
      <c r="BD500" s="69"/>
      <c r="BE500" s="69"/>
      <c r="BF500" s="69"/>
      <c r="BG500" s="69"/>
      <c r="BH500" s="69"/>
      <c r="BI500" s="69"/>
      <c r="BJ500" s="69"/>
      <c r="BK500" s="69"/>
      <c r="BL500" s="69"/>
      <c r="BM500" s="69"/>
      <c r="BN500" s="69"/>
      <c r="BO500" s="69"/>
      <c r="BP500" s="69"/>
      <c r="BQ500" s="69"/>
      <c r="BR500" s="8"/>
    </row>
    <row r="501" ht="12.0" customHeight="1">
      <c r="A501" s="69"/>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69"/>
      <c r="AS501" s="69"/>
      <c r="AT501" s="69"/>
      <c r="AU501" s="69"/>
      <c r="AV501" s="69"/>
      <c r="AW501" s="69"/>
      <c r="AX501" s="69"/>
      <c r="AY501" s="69"/>
      <c r="AZ501" s="69"/>
      <c r="BA501" s="69"/>
      <c r="BB501" s="69"/>
      <c r="BC501" s="69"/>
      <c r="BD501" s="69"/>
      <c r="BE501" s="69"/>
      <c r="BF501" s="69"/>
      <c r="BG501" s="69"/>
      <c r="BH501" s="69"/>
      <c r="BI501" s="69"/>
      <c r="BJ501" s="69"/>
      <c r="BK501" s="69"/>
      <c r="BL501" s="69"/>
      <c r="BM501" s="69"/>
      <c r="BN501" s="69"/>
      <c r="BO501" s="69"/>
      <c r="BP501" s="69"/>
      <c r="BQ501" s="69"/>
      <c r="BR501" s="8"/>
    </row>
    <row r="502" ht="12.0" customHeight="1">
      <c r="A502" s="69"/>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69"/>
      <c r="AS502" s="69"/>
      <c r="AT502" s="69"/>
      <c r="AU502" s="69"/>
      <c r="AV502" s="69"/>
      <c r="AW502" s="69"/>
      <c r="AX502" s="69"/>
      <c r="AY502" s="69"/>
      <c r="AZ502" s="69"/>
      <c r="BA502" s="69"/>
      <c r="BB502" s="69"/>
      <c r="BC502" s="69"/>
      <c r="BD502" s="69"/>
      <c r="BE502" s="69"/>
      <c r="BF502" s="69"/>
      <c r="BG502" s="69"/>
      <c r="BH502" s="69"/>
      <c r="BI502" s="69"/>
      <c r="BJ502" s="69"/>
      <c r="BK502" s="69"/>
      <c r="BL502" s="69"/>
      <c r="BM502" s="69"/>
      <c r="BN502" s="69"/>
      <c r="BO502" s="69"/>
      <c r="BP502" s="69"/>
      <c r="BQ502" s="69"/>
      <c r="BR502" s="8"/>
    </row>
    <row r="503" ht="12.0" customHeight="1">
      <c r="A503" s="69"/>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69"/>
      <c r="AS503" s="69"/>
      <c r="AT503" s="69"/>
      <c r="AU503" s="69"/>
      <c r="AV503" s="69"/>
      <c r="AW503" s="69"/>
      <c r="AX503" s="69"/>
      <c r="AY503" s="69"/>
      <c r="AZ503" s="69"/>
      <c r="BA503" s="69"/>
      <c r="BB503" s="69"/>
      <c r="BC503" s="69"/>
      <c r="BD503" s="69"/>
      <c r="BE503" s="69"/>
      <c r="BF503" s="69"/>
      <c r="BG503" s="69"/>
      <c r="BH503" s="69"/>
      <c r="BI503" s="69"/>
      <c r="BJ503" s="69"/>
      <c r="BK503" s="69"/>
      <c r="BL503" s="69"/>
      <c r="BM503" s="69"/>
      <c r="BN503" s="69"/>
      <c r="BO503" s="69"/>
      <c r="BP503" s="69"/>
      <c r="BQ503" s="69"/>
      <c r="BR503" s="8"/>
    </row>
    <row r="504" ht="12.0" customHeight="1">
      <c r="A504" s="69"/>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69"/>
      <c r="AS504" s="69"/>
      <c r="AT504" s="69"/>
      <c r="AU504" s="69"/>
      <c r="AV504" s="69"/>
      <c r="AW504" s="69"/>
      <c r="AX504" s="69"/>
      <c r="AY504" s="69"/>
      <c r="AZ504" s="69"/>
      <c r="BA504" s="69"/>
      <c r="BB504" s="69"/>
      <c r="BC504" s="69"/>
      <c r="BD504" s="69"/>
      <c r="BE504" s="69"/>
      <c r="BF504" s="69"/>
      <c r="BG504" s="69"/>
      <c r="BH504" s="69"/>
      <c r="BI504" s="69"/>
      <c r="BJ504" s="69"/>
      <c r="BK504" s="69"/>
      <c r="BL504" s="69"/>
      <c r="BM504" s="69"/>
      <c r="BN504" s="69"/>
      <c r="BO504" s="69"/>
      <c r="BP504" s="69"/>
      <c r="BQ504" s="69"/>
      <c r="BR504" s="8"/>
    </row>
    <row r="505" ht="12.0" customHeight="1">
      <c r="A505" s="69"/>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69"/>
      <c r="AS505" s="69"/>
      <c r="AT505" s="69"/>
      <c r="AU505" s="69"/>
      <c r="AV505" s="69"/>
      <c r="AW505" s="69"/>
      <c r="AX505" s="69"/>
      <c r="AY505" s="69"/>
      <c r="AZ505" s="69"/>
      <c r="BA505" s="69"/>
      <c r="BB505" s="69"/>
      <c r="BC505" s="69"/>
      <c r="BD505" s="69"/>
      <c r="BE505" s="69"/>
      <c r="BF505" s="69"/>
      <c r="BG505" s="69"/>
      <c r="BH505" s="69"/>
      <c r="BI505" s="69"/>
      <c r="BJ505" s="69"/>
      <c r="BK505" s="69"/>
      <c r="BL505" s="69"/>
      <c r="BM505" s="69"/>
      <c r="BN505" s="69"/>
      <c r="BO505" s="69"/>
      <c r="BP505" s="69"/>
      <c r="BQ505" s="69"/>
      <c r="BR505" s="8"/>
    </row>
    <row r="506" ht="12.0" customHeight="1">
      <c r="A506" s="69"/>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69"/>
      <c r="AS506" s="69"/>
      <c r="AT506" s="69"/>
      <c r="AU506" s="69"/>
      <c r="AV506" s="69"/>
      <c r="AW506" s="69"/>
      <c r="AX506" s="69"/>
      <c r="AY506" s="69"/>
      <c r="AZ506" s="69"/>
      <c r="BA506" s="69"/>
      <c r="BB506" s="69"/>
      <c r="BC506" s="69"/>
      <c r="BD506" s="69"/>
      <c r="BE506" s="69"/>
      <c r="BF506" s="69"/>
      <c r="BG506" s="69"/>
      <c r="BH506" s="69"/>
      <c r="BI506" s="69"/>
      <c r="BJ506" s="69"/>
      <c r="BK506" s="69"/>
      <c r="BL506" s="69"/>
      <c r="BM506" s="69"/>
      <c r="BN506" s="69"/>
      <c r="BO506" s="69"/>
      <c r="BP506" s="69"/>
      <c r="BQ506" s="69"/>
      <c r="BR506" s="8"/>
    </row>
    <row r="507" ht="12.0" customHeight="1">
      <c r="A507" s="69"/>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69"/>
      <c r="AS507" s="69"/>
      <c r="AT507" s="69"/>
      <c r="AU507" s="69"/>
      <c r="AV507" s="69"/>
      <c r="AW507" s="69"/>
      <c r="AX507" s="69"/>
      <c r="AY507" s="69"/>
      <c r="AZ507" s="69"/>
      <c r="BA507" s="69"/>
      <c r="BB507" s="69"/>
      <c r="BC507" s="69"/>
      <c r="BD507" s="69"/>
      <c r="BE507" s="69"/>
      <c r="BF507" s="69"/>
      <c r="BG507" s="69"/>
      <c r="BH507" s="69"/>
      <c r="BI507" s="69"/>
      <c r="BJ507" s="69"/>
      <c r="BK507" s="69"/>
      <c r="BL507" s="69"/>
      <c r="BM507" s="69"/>
      <c r="BN507" s="69"/>
      <c r="BO507" s="69"/>
      <c r="BP507" s="69"/>
      <c r="BQ507" s="69"/>
      <c r="BR507" s="8"/>
    </row>
    <row r="508" ht="12.0" customHeight="1">
      <c r="A508" s="69"/>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69"/>
      <c r="AS508" s="69"/>
      <c r="AT508" s="69"/>
      <c r="AU508" s="69"/>
      <c r="AV508" s="69"/>
      <c r="AW508" s="69"/>
      <c r="AX508" s="69"/>
      <c r="AY508" s="69"/>
      <c r="AZ508" s="69"/>
      <c r="BA508" s="69"/>
      <c r="BB508" s="69"/>
      <c r="BC508" s="69"/>
      <c r="BD508" s="69"/>
      <c r="BE508" s="69"/>
      <c r="BF508" s="69"/>
      <c r="BG508" s="69"/>
      <c r="BH508" s="69"/>
      <c r="BI508" s="69"/>
      <c r="BJ508" s="69"/>
      <c r="BK508" s="69"/>
      <c r="BL508" s="69"/>
      <c r="BM508" s="69"/>
      <c r="BN508" s="69"/>
      <c r="BO508" s="69"/>
      <c r="BP508" s="69"/>
      <c r="BQ508" s="69"/>
      <c r="BR508" s="8"/>
    </row>
    <row r="509" ht="12.0" customHeight="1">
      <c r="A509" s="69"/>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69"/>
      <c r="AS509" s="69"/>
      <c r="AT509" s="69"/>
      <c r="AU509" s="69"/>
      <c r="AV509" s="69"/>
      <c r="AW509" s="69"/>
      <c r="AX509" s="69"/>
      <c r="AY509" s="69"/>
      <c r="AZ509" s="69"/>
      <c r="BA509" s="69"/>
      <c r="BB509" s="69"/>
      <c r="BC509" s="69"/>
      <c r="BD509" s="69"/>
      <c r="BE509" s="69"/>
      <c r="BF509" s="69"/>
      <c r="BG509" s="69"/>
      <c r="BH509" s="69"/>
      <c r="BI509" s="69"/>
      <c r="BJ509" s="69"/>
      <c r="BK509" s="69"/>
      <c r="BL509" s="69"/>
      <c r="BM509" s="69"/>
      <c r="BN509" s="69"/>
      <c r="BO509" s="69"/>
      <c r="BP509" s="69"/>
      <c r="BQ509" s="69"/>
      <c r="BR509" s="8"/>
    </row>
    <row r="510" ht="12.0" customHeight="1">
      <c r="A510" s="69"/>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69"/>
      <c r="AS510" s="69"/>
      <c r="AT510" s="69"/>
      <c r="AU510" s="69"/>
      <c r="AV510" s="69"/>
      <c r="AW510" s="69"/>
      <c r="AX510" s="69"/>
      <c r="AY510" s="69"/>
      <c r="AZ510" s="69"/>
      <c r="BA510" s="69"/>
      <c r="BB510" s="69"/>
      <c r="BC510" s="69"/>
      <c r="BD510" s="69"/>
      <c r="BE510" s="69"/>
      <c r="BF510" s="69"/>
      <c r="BG510" s="69"/>
      <c r="BH510" s="69"/>
      <c r="BI510" s="69"/>
      <c r="BJ510" s="69"/>
      <c r="BK510" s="69"/>
      <c r="BL510" s="69"/>
      <c r="BM510" s="69"/>
      <c r="BN510" s="69"/>
      <c r="BO510" s="69"/>
      <c r="BP510" s="69"/>
      <c r="BQ510" s="69"/>
      <c r="BR510" s="8"/>
    </row>
    <row r="511" ht="12.0" customHeight="1">
      <c r="A511" s="69"/>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69"/>
      <c r="AS511" s="69"/>
      <c r="AT511" s="69"/>
      <c r="AU511" s="69"/>
      <c r="AV511" s="69"/>
      <c r="AW511" s="69"/>
      <c r="AX511" s="69"/>
      <c r="AY511" s="69"/>
      <c r="AZ511" s="69"/>
      <c r="BA511" s="69"/>
      <c r="BB511" s="69"/>
      <c r="BC511" s="69"/>
      <c r="BD511" s="69"/>
      <c r="BE511" s="69"/>
      <c r="BF511" s="69"/>
      <c r="BG511" s="69"/>
      <c r="BH511" s="69"/>
      <c r="BI511" s="69"/>
      <c r="BJ511" s="69"/>
      <c r="BK511" s="69"/>
      <c r="BL511" s="69"/>
      <c r="BM511" s="69"/>
      <c r="BN511" s="69"/>
      <c r="BO511" s="69"/>
      <c r="BP511" s="69"/>
      <c r="BQ511" s="69"/>
      <c r="BR511" s="8"/>
    </row>
    <row r="512" ht="12.0" customHeight="1">
      <c r="A512" s="69"/>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69"/>
      <c r="AS512" s="69"/>
      <c r="AT512" s="69"/>
      <c r="AU512" s="69"/>
      <c r="AV512" s="69"/>
      <c r="AW512" s="69"/>
      <c r="AX512" s="69"/>
      <c r="AY512" s="69"/>
      <c r="AZ512" s="69"/>
      <c r="BA512" s="69"/>
      <c r="BB512" s="69"/>
      <c r="BC512" s="69"/>
      <c r="BD512" s="69"/>
      <c r="BE512" s="69"/>
      <c r="BF512" s="69"/>
      <c r="BG512" s="69"/>
      <c r="BH512" s="69"/>
      <c r="BI512" s="69"/>
      <c r="BJ512" s="69"/>
      <c r="BK512" s="69"/>
      <c r="BL512" s="69"/>
      <c r="BM512" s="69"/>
      <c r="BN512" s="69"/>
      <c r="BO512" s="69"/>
      <c r="BP512" s="69"/>
      <c r="BQ512" s="69"/>
      <c r="BR512" s="8"/>
    </row>
    <row r="513" ht="12.0" customHeight="1">
      <c r="A513" s="69"/>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69"/>
      <c r="AS513" s="69"/>
      <c r="AT513" s="69"/>
      <c r="AU513" s="69"/>
      <c r="AV513" s="69"/>
      <c r="AW513" s="69"/>
      <c r="AX513" s="69"/>
      <c r="AY513" s="69"/>
      <c r="AZ513" s="69"/>
      <c r="BA513" s="69"/>
      <c r="BB513" s="69"/>
      <c r="BC513" s="69"/>
      <c r="BD513" s="69"/>
      <c r="BE513" s="69"/>
      <c r="BF513" s="69"/>
      <c r="BG513" s="69"/>
      <c r="BH513" s="69"/>
      <c r="BI513" s="69"/>
      <c r="BJ513" s="69"/>
      <c r="BK513" s="69"/>
      <c r="BL513" s="69"/>
      <c r="BM513" s="69"/>
      <c r="BN513" s="69"/>
      <c r="BO513" s="69"/>
      <c r="BP513" s="69"/>
      <c r="BQ513" s="69"/>
      <c r="BR513" s="8"/>
    </row>
    <row r="514" ht="12.0" customHeight="1">
      <c r="A514" s="69"/>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69"/>
      <c r="AS514" s="69"/>
      <c r="AT514" s="69"/>
      <c r="AU514" s="69"/>
      <c r="AV514" s="69"/>
      <c r="AW514" s="69"/>
      <c r="AX514" s="69"/>
      <c r="AY514" s="69"/>
      <c r="AZ514" s="69"/>
      <c r="BA514" s="69"/>
      <c r="BB514" s="69"/>
      <c r="BC514" s="69"/>
      <c r="BD514" s="69"/>
      <c r="BE514" s="69"/>
      <c r="BF514" s="69"/>
      <c r="BG514" s="69"/>
      <c r="BH514" s="69"/>
      <c r="BI514" s="69"/>
      <c r="BJ514" s="69"/>
      <c r="BK514" s="69"/>
      <c r="BL514" s="69"/>
      <c r="BM514" s="69"/>
      <c r="BN514" s="69"/>
      <c r="BO514" s="69"/>
      <c r="BP514" s="69"/>
      <c r="BQ514" s="69"/>
      <c r="BR514" s="8"/>
    </row>
    <row r="515" ht="12.0" customHeight="1">
      <c r="A515" s="69"/>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69"/>
      <c r="AS515" s="69"/>
      <c r="AT515" s="69"/>
      <c r="AU515" s="69"/>
      <c r="AV515" s="69"/>
      <c r="AW515" s="69"/>
      <c r="AX515" s="69"/>
      <c r="AY515" s="69"/>
      <c r="AZ515" s="69"/>
      <c r="BA515" s="69"/>
      <c r="BB515" s="69"/>
      <c r="BC515" s="69"/>
      <c r="BD515" s="69"/>
      <c r="BE515" s="69"/>
      <c r="BF515" s="69"/>
      <c r="BG515" s="69"/>
      <c r="BH515" s="69"/>
      <c r="BI515" s="69"/>
      <c r="BJ515" s="69"/>
      <c r="BK515" s="69"/>
      <c r="BL515" s="69"/>
      <c r="BM515" s="69"/>
      <c r="BN515" s="69"/>
      <c r="BO515" s="69"/>
      <c r="BP515" s="69"/>
      <c r="BQ515" s="69"/>
      <c r="BR515" s="8"/>
    </row>
    <row r="516" ht="12.0" customHeight="1">
      <c r="A516" s="69"/>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69"/>
      <c r="AS516" s="69"/>
      <c r="AT516" s="69"/>
      <c r="AU516" s="69"/>
      <c r="AV516" s="69"/>
      <c r="AW516" s="69"/>
      <c r="AX516" s="69"/>
      <c r="AY516" s="69"/>
      <c r="AZ516" s="69"/>
      <c r="BA516" s="69"/>
      <c r="BB516" s="69"/>
      <c r="BC516" s="69"/>
      <c r="BD516" s="69"/>
      <c r="BE516" s="69"/>
      <c r="BF516" s="69"/>
      <c r="BG516" s="69"/>
      <c r="BH516" s="69"/>
      <c r="BI516" s="69"/>
      <c r="BJ516" s="69"/>
      <c r="BK516" s="69"/>
      <c r="BL516" s="69"/>
      <c r="BM516" s="69"/>
      <c r="BN516" s="69"/>
      <c r="BO516" s="69"/>
      <c r="BP516" s="69"/>
      <c r="BQ516" s="69"/>
      <c r="BR516" s="8"/>
    </row>
    <row r="517" ht="12.0" customHeight="1">
      <c r="A517" s="69"/>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69"/>
      <c r="AS517" s="69"/>
      <c r="AT517" s="69"/>
      <c r="AU517" s="69"/>
      <c r="AV517" s="69"/>
      <c r="AW517" s="69"/>
      <c r="AX517" s="69"/>
      <c r="AY517" s="69"/>
      <c r="AZ517" s="69"/>
      <c r="BA517" s="69"/>
      <c r="BB517" s="69"/>
      <c r="BC517" s="69"/>
      <c r="BD517" s="69"/>
      <c r="BE517" s="69"/>
      <c r="BF517" s="69"/>
      <c r="BG517" s="69"/>
      <c r="BH517" s="69"/>
      <c r="BI517" s="69"/>
      <c r="BJ517" s="69"/>
      <c r="BK517" s="69"/>
      <c r="BL517" s="69"/>
      <c r="BM517" s="69"/>
      <c r="BN517" s="69"/>
      <c r="BO517" s="69"/>
      <c r="BP517" s="69"/>
      <c r="BQ517" s="69"/>
      <c r="BR517" s="8"/>
    </row>
    <row r="518" ht="12.0" customHeight="1">
      <c r="A518" s="69"/>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69"/>
      <c r="AS518" s="69"/>
      <c r="AT518" s="69"/>
      <c r="AU518" s="69"/>
      <c r="AV518" s="69"/>
      <c r="AW518" s="69"/>
      <c r="AX518" s="69"/>
      <c r="AY518" s="69"/>
      <c r="AZ518" s="69"/>
      <c r="BA518" s="69"/>
      <c r="BB518" s="69"/>
      <c r="BC518" s="69"/>
      <c r="BD518" s="69"/>
      <c r="BE518" s="69"/>
      <c r="BF518" s="69"/>
      <c r="BG518" s="69"/>
      <c r="BH518" s="69"/>
      <c r="BI518" s="69"/>
      <c r="BJ518" s="69"/>
      <c r="BK518" s="69"/>
      <c r="BL518" s="69"/>
      <c r="BM518" s="69"/>
      <c r="BN518" s="69"/>
      <c r="BO518" s="69"/>
      <c r="BP518" s="69"/>
      <c r="BQ518" s="69"/>
      <c r="BR518" s="8"/>
    </row>
    <row r="519" ht="12.0" customHeight="1">
      <c r="A519" s="69"/>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69"/>
      <c r="AS519" s="69"/>
      <c r="AT519" s="69"/>
      <c r="AU519" s="69"/>
      <c r="AV519" s="69"/>
      <c r="AW519" s="69"/>
      <c r="AX519" s="69"/>
      <c r="AY519" s="69"/>
      <c r="AZ519" s="69"/>
      <c r="BA519" s="69"/>
      <c r="BB519" s="69"/>
      <c r="BC519" s="69"/>
      <c r="BD519" s="69"/>
      <c r="BE519" s="69"/>
      <c r="BF519" s="69"/>
      <c r="BG519" s="69"/>
      <c r="BH519" s="69"/>
      <c r="BI519" s="69"/>
      <c r="BJ519" s="69"/>
      <c r="BK519" s="69"/>
      <c r="BL519" s="69"/>
      <c r="BM519" s="69"/>
      <c r="BN519" s="69"/>
      <c r="BO519" s="69"/>
      <c r="BP519" s="69"/>
      <c r="BQ519" s="69"/>
      <c r="BR519" s="8"/>
    </row>
    <row r="520" ht="12.0" customHeight="1">
      <c r="A520" s="69"/>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69"/>
      <c r="AS520" s="69"/>
      <c r="AT520" s="69"/>
      <c r="AU520" s="69"/>
      <c r="AV520" s="69"/>
      <c r="AW520" s="69"/>
      <c r="AX520" s="69"/>
      <c r="AY520" s="69"/>
      <c r="AZ520" s="69"/>
      <c r="BA520" s="69"/>
      <c r="BB520" s="69"/>
      <c r="BC520" s="69"/>
      <c r="BD520" s="69"/>
      <c r="BE520" s="69"/>
      <c r="BF520" s="69"/>
      <c r="BG520" s="69"/>
      <c r="BH520" s="69"/>
      <c r="BI520" s="69"/>
      <c r="BJ520" s="69"/>
      <c r="BK520" s="69"/>
      <c r="BL520" s="69"/>
      <c r="BM520" s="69"/>
      <c r="BN520" s="69"/>
      <c r="BO520" s="69"/>
      <c r="BP520" s="69"/>
      <c r="BQ520" s="69"/>
      <c r="BR520" s="8"/>
    </row>
    <row r="521" ht="12.0" customHeight="1">
      <c r="A521" s="69"/>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69"/>
      <c r="AS521" s="69"/>
      <c r="AT521" s="69"/>
      <c r="AU521" s="69"/>
      <c r="AV521" s="69"/>
      <c r="AW521" s="69"/>
      <c r="AX521" s="69"/>
      <c r="AY521" s="69"/>
      <c r="AZ521" s="69"/>
      <c r="BA521" s="69"/>
      <c r="BB521" s="69"/>
      <c r="BC521" s="69"/>
      <c r="BD521" s="69"/>
      <c r="BE521" s="69"/>
      <c r="BF521" s="69"/>
      <c r="BG521" s="69"/>
      <c r="BH521" s="69"/>
      <c r="BI521" s="69"/>
      <c r="BJ521" s="69"/>
      <c r="BK521" s="69"/>
      <c r="BL521" s="69"/>
      <c r="BM521" s="69"/>
      <c r="BN521" s="69"/>
      <c r="BO521" s="69"/>
      <c r="BP521" s="69"/>
      <c r="BQ521" s="69"/>
      <c r="BR521" s="8"/>
    </row>
    <row r="522" ht="12.0" customHeight="1">
      <c r="A522" s="69"/>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69"/>
      <c r="AS522" s="69"/>
      <c r="AT522" s="69"/>
      <c r="AU522" s="69"/>
      <c r="AV522" s="69"/>
      <c r="AW522" s="69"/>
      <c r="AX522" s="69"/>
      <c r="AY522" s="69"/>
      <c r="AZ522" s="69"/>
      <c r="BA522" s="69"/>
      <c r="BB522" s="69"/>
      <c r="BC522" s="69"/>
      <c r="BD522" s="69"/>
      <c r="BE522" s="69"/>
      <c r="BF522" s="69"/>
      <c r="BG522" s="69"/>
      <c r="BH522" s="69"/>
      <c r="BI522" s="69"/>
      <c r="BJ522" s="69"/>
      <c r="BK522" s="69"/>
      <c r="BL522" s="69"/>
      <c r="BM522" s="69"/>
      <c r="BN522" s="69"/>
      <c r="BO522" s="69"/>
      <c r="BP522" s="69"/>
      <c r="BQ522" s="69"/>
      <c r="BR522" s="8"/>
    </row>
    <row r="523" ht="12.0" customHeight="1">
      <c r="A523" s="69"/>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69"/>
      <c r="AS523" s="69"/>
      <c r="AT523" s="69"/>
      <c r="AU523" s="69"/>
      <c r="AV523" s="69"/>
      <c r="AW523" s="69"/>
      <c r="AX523" s="69"/>
      <c r="AY523" s="69"/>
      <c r="AZ523" s="69"/>
      <c r="BA523" s="69"/>
      <c r="BB523" s="69"/>
      <c r="BC523" s="69"/>
      <c r="BD523" s="69"/>
      <c r="BE523" s="69"/>
      <c r="BF523" s="69"/>
      <c r="BG523" s="69"/>
      <c r="BH523" s="69"/>
      <c r="BI523" s="69"/>
      <c r="BJ523" s="69"/>
      <c r="BK523" s="69"/>
      <c r="BL523" s="69"/>
      <c r="BM523" s="69"/>
      <c r="BN523" s="69"/>
      <c r="BO523" s="69"/>
      <c r="BP523" s="69"/>
      <c r="BQ523" s="69"/>
      <c r="BR523" s="8"/>
    </row>
    <row r="524" ht="12.0" customHeight="1">
      <c r="A524" s="69"/>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69"/>
      <c r="AS524" s="69"/>
      <c r="AT524" s="69"/>
      <c r="AU524" s="69"/>
      <c r="AV524" s="69"/>
      <c r="AW524" s="69"/>
      <c r="AX524" s="69"/>
      <c r="AY524" s="69"/>
      <c r="AZ524" s="69"/>
      <c r="BA524" s="69"/>
      <c r="BB524" s="69"/>
      <c r="BC524" s="69"/>
      <c r="BD524" s="69"/>
      <c r="BE524" s="69"/>
      <c r="BF524" s="69"/>
      <c r="BG524" s="69"/>
      <c r="BH524" s="69"/>
      <c r="BI524" s="69"/>
      <c r="BJ524" s="69"/>
      <c r="BK524" s="69"/>
      <c r="BL524" s="69"/>
      <c r="BM524" s="69"/>
      <c r="BN524" s="69"/>
      <c r="BO524" s="69"/>
      <c r="BP524" s="69"/>
      <c r="BQ524" s="69"/>
      <c r="BR524" s="8"/>
    </row>
    <row r="525" ht="12.0" customHeight="1">
      <c r="A525" s="69"/>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69"/>
      <c r="AS525" s="69"/>
      <c r="AT525" s="69"/>
      <c r="AU525" s="69"/>
      <c r="AV525" s="69"/>
      <c r="AW525" s="69"/>
      <c r="AX525" s="69"/>
      <c r="AY525" s="69"/>
      <c r="AZ525" s="69"/>
      <c r="BA525" s="69"/>
      <c r="BB525" s="69"/>
      <c r="BC525" s="69"/>
      <c r="BD525" s="69"/>
      <c r="BE525" s="69"/>
      <c r="BF525" s="69"/>
      <c r="BG525" s="69"/>
      <c r="BH525" s="69"/>
      <c r="BI525" s="69"/>
      <c r="BJ525" s="69"/>
      <c r="BK525" s="69"/>
      <c r="BL525" s="69"/>
      <c r="BM525" s="69"/>
      <c r="BN525" s="69"/>
      <c r="BO525" s="69"/>
      <c r="BP525" s="69"/>
      <c r="BQ525" s="69"/>
      <c r="BR525" s="8"/>
    </row>
    <row r="526" ht="12.0" customHeight="1">
      <c r="A526" s="69"/>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69"/>
      <c r="AS526" s="69"/>
      <c r="AT526" s="69"/>
      <c r="AU526" s="69"/>
      <c r="AV526" s="69"/>
      <c r="AW526" s="69"/>
      <c r="AX526" s="69"/>
      <c r="AY526" s="69"/>
      <c r="AZ526" s="69"/>
      <c r="BA526" s="69"/>
      <c r="BB526" s="69"/>
      <c r="BC526" s="69"/>
      <c r="BD526" s="69"/>
      <c r="BE526" s="69"/>
      <c r="BF526" s="69"/>
      <c r="BG526" s="69"/>
      <c r="BH526" s="69"/>
      <c r="BI526" s="69"/>
      <c r="BJ526" s="69"/>
      <c r="BK526" s="69"/>
      <c r="BL526" s="69"/>
      <c r="BM526" s="69"/>
      <c r="BN526" s="69"/>
      <c r="BO526" s="69"/>
      <c r="BP526" s="69"/>
      <c r="BQ526" s="69"/>
      <c r="BR526" s="8"/>
    </row>
    <row r="527" ht="12.0" customHeight="1">
      <c r="A527" s="69"/>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69"/>
      <c r="AS527" s="69"/>
      <c r="AT527" s="69"/>
      <c r="AU527" s="69"/>
      <c r="AV527" s="69"/>
      <c r="AW527" s="69"/>
      <c r="AX527" s="69"/>
      <c r="AY527" s="69"/>
      <c r="AZ527" s="69"/>
      <c r="BA527" s="69"/>
      <c r="BB527" s="69"/>
      <c r="BC527" s="69"/>
      <c r="BD527" s="69"/>
      <c r="BE527" s="69"/>
      <c r="BF527" s="69"/>
      <c r="BG527" s="69"/>
      <c r="BH527" s="69"/>
      <c r="BI527" s="69"/>
      <c r="BJ527" s="69"/>
      <c r="BK527" s="69"/>
      <c r="BL527" s="69"/>
      <c r="BM527" s="69"/>
      <c r="BN527" s="69"/>
      <c r="BO527" s="69"/>
      <c r="BP527" s="69"/>
      <c r="BQ527" s="69"/>
      <c r="BR527" s="8"/>
    </row>
    <row r="528" ht="12.0" customHeight="1">
      <c r="A528" s="69"/>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69"/>
      <c r="AS528" s="69"/>
      <c r="AT528" s="69"/>
      <c r="AU528" s="69"/>
      <c r="AV528" s="69"/>
      <c r="AW528" s="69"/>
      <c r="AX528" s="69"/>
      <c r="AY528" s="69"/>
      <c r="AZ528" s="69"/>
      <c r="BA528" s="69"/>
      <c r="BB528" s="69"/>
      <c r="BC528" s="69"/>
      <c r="BD528" s="69"/>
      <c r="BE528" s="69"/>
      <c r="BF528" s="69"/>
      <c r="BG528" s="69"/>
      <c r="BH528" s="69"/>
      <c r="BI528" s="69"/>
      <c r="BJ528" s="69"/>
      <c r="BK528" s="69"/>
      <c r="BL528" s="69"/>
      <c r="BM528" s="69"/>
      <c r="BN528" s="69"/>
      <c r="BO528" s="69"/>
      <c r="BP528" s="69"/>
      <c r="BQ528" s="69"/>
      <c r="BR528" s="8"/>
    </row>
    <row r="529" ht="12.0" customHeight="1">
      <c r="A529" s="69"/>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69"/>
      <c r="AS529" s="69"/>
      <c r="AT529" s="69"/>
      <c r="AU529" s="69"/>
      <c r="AV529" s="69"/>
      <c r="AW529" s="69"/>
      <c r="AX529" s="69"/>
      <c r="AY529" s="69"/>
      <c r="AZ529" s="69"/>
      <c r="BA529" s="69"/>
      <c r="BB529" s="69"/>
      <c r="BC529" s="69"/>
      <c r="BD529" s="69"/>
      <c r="BE529" s="69"/>
      <c r="BF529" s="69"/>
      <c r="BG529" s="69"/>
      <c r="BH529" s="69"/>
      <c r="BI529" s="69"/>
      <c r="BJ529" s="69"/>
      <c r="BK529" s="69"/>
      <c r="BL529" s="69"/>
      <c r="BM529" s="69"/>
      <c r="BN529" s="69"/>
      <c r="BO529" s="69"/>
      <c r="BP529" s="69"/>
      <c r="BQ529" s="69"/>
      <c r="BR529" s="8"/>
    </row>
    <row r="530" ht="12.0" customHeight="1">
      <c r="A530" s="69"/>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69"/>
      <c r="AS530" s="69"/>
      <c r="AT530" s="69"/>
      <c r="AU530" s="69"/>
      <c r="AV530" s="69"/>
      <c r="AW530" s="69"/>
      <c r="AX530" s="69"/>
      <c r="AY530" s="69"/>
      <c r="AZ530" s="69"/>
      <c r="BA530" s="69"/>
      <c r="BB530" s="69"/>
      <c r="BC530" s="69"/>
      <c r="BD530" s="69"/>
      <c r="BE530" s="69"/>
      <c r="BF530" s="69"/>
      <c r="BG530" s="69"/>
      <c r="BH530" s="69"/>
      <c r="BI530" s="69"/>
      <c r="BJ530" s="69"/>
      <c r="BK530" s="69"/>
      <c r="BL530" s="69"/>
      <c r="BM530" s="69"/>
      <c r="BN530" s="69"/>
      <c r="BO530" s="69"/>
      <c r="BP530" s="69"/>
      <c r="BQ530" s="69"/>
      <c r="BR530" s="8"/>
    </row>
    <row r="531" ht="12.0" customHeight="1">
      <c r="A531" s="69"/>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69"/>
      <c r="AS531" s="69"/>
      <c r="AT531" s="69"/>
      <c r="AU531" s="69"/>
      <c r="AV531" s="69"/>
      <c r="AW531" s="69"/>
      <c r="AX531" s="69"/>
      <c r="AY531" s="69"/>
      <c r="AZ531" s="69"/>
      <c r="BA531" s="69"/>
      <c r="BB531" s="69"/>
      <c r="BC531" s="69"/>
      <c r="BD531" s="69"/>
      <c r="BE531" s="69"/>
      <c r="BF531" s="69"/>
      <c r="BG531" s="69"/>
      <c r="BH531" s="69"/>
      <c r="BI531" s="69"/>
      <c r="BJ531" s="69"/>
      <c r="BK531" s="69"/>
      <c r="BL531" s="69"/>
      <c r="BM531" s="69"/>
      <c r="BN531" s="69"/>
      <c r="BO531" s="69"/>
      <c r="BP531" s="69"/>
      <c r="BQ531" s="69"/>
      <c r="BR531" s="8"/>
    </row>
    <row r="532" ht="12.0" customHeight="1">
      <c r="A532" s="69"/>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69"/>
      <c r="AS532" s="69"/>
      <c r="AT532" s="69"/>
      <c r="AU532" s="69"/>
      <c r="AV532" s="69"/>
      <c r="AW532" s="69"/>
      <c r="AX532" s="69"/>
      <c r="AY532" s="69"/>
      <c r="AZ532" s="69"/>
      <c r="BA532" s="69"/>
      <c r="BB532" s="69"/>
      <c r="BC532" s="69"/>
      <c r="BD532" s="69"/>
      <c r="BE532" s="69"/>
      <c r="BF532" s="69"/>
      <c r="BG532" s="69"/>
      <c r="BH532" s="69"/>
      <c r="BI532" s="69"/>
      <c r="BJ532" s="69"/>
      <c r="BK532" s="69"/>
      <c r="BL532" s="69"/>
      <c r="BM532" s="69"/>
      <c r="BN532" s="69"/>
      <c r="BO532" s="69"/>
      <c r="BP532" s="69"/>
      <c r="BQ532" s="69"/>
      <c r="BR532" s="8"/>
    </row>
    <row r="533" ht="12.0" customHeight="1">
      <c r="A533" s="69"/>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69"/>
      <c r="AS533" s="69"/>
      <c r="AT533" s="69"/>
      <c r="AU533" s="69"/>
      <c r="AV533" s="69"/>
      <c r="AW533" s="69"/>
      <c r="AX533" s="69"/>
      <c r="AY533" s="69"/>
      <c r="AZ533" s="69"/>
      <c r="BA533" s="69"/>
      <c r="BB533" s="69"/>
      <c r="BC533" s="69"/>
      <c r="BD533" s="69"/>
      <c r="BE533" s="69"/>
      <c r="BF533" s="69"/>
      <c r="BG533" s="69"/>
      <c r="BH533" s="69"/>
      <c r="BI533" s="69"/>
      <c r="BJ533" s="69"/>
      <c r="BK533" s="69"/>
      <c r="BL533" s="69"/>
      <c r="BM533" s="69"/>
      <c r="BN533" s="69"/>
      <c r="BO533" s="69"/>
      <c r="BP533" s="69"/>
      <c r="BQ533" s="69"/>
      <c r="BR533" s="8"/>
    </row>
    <row r="534" ht="12.0" customHeight="1">
      <c r="A534" s="69"/>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69"/>
      <c r="AS534" s="69"/>
      <c r="AT534" s="69"/>
      <c r="AU534" s="69"/>
      <c r="AV534" s="69"/>
      <c r="AW534" s="69"/>
      <c r="AX534" s="69"/>
      <c r="AY534" s="69"/>
      <c r="AZ534" s="69"/>
      <c r="BA534" s="69"/>
      <c r="BB534" s="69"/>
      <c r="BC534" s="69"/>
      <c r="BD534" s="69"/>
      <c r="BE534" s="69"/>
      <c r="BF534" s="69"/>
      <c r="BG534" s="69"/>
      <c r="BH534" s="69"/>
      <c r="BI534" s="69"/>
      <c r="BJ534" s="69"/>
      <c r="BK534" s="69"/>
      <c r="BL534" s="69"/>
      <c r="BM534" s="69"/>
      <c r="BN534" s="69"/>
      <c r="BO534" s="69"/>
      <c r="BP534" s="69"/>
      <c r="BQ534" s="69"/>
      <c r="BR534" s="8"/>
    </row>
    <row r="535" ht="12.0" customHeight="1">
      <c r="A535" s="69"/>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69"/>
      <c r="AS535" s="69"/>
      <c r="AT535" s="69"/>
      <c r="AU535" s="69"/>
      <c r="AV535" s="69"/>
      <c r="AW535" s="69"/>
      <c r="AX535" s="69"/>
      <c r="AY535" s="69"/>
      <c r="AZ535" s="69"/>
      <c r="BA535" s="69"/>
      <c r="BB535" s="69"/>
      <c r="BC535" s="69"/>
      <c r="BD535" s="69"/>
      <c r="BE535" s="69"/>
      <c r="BF535" s="69"/>
      <c r="BG535" s="69"/>
      <c r="BH535" s="69"/>
      <c r="BI535" s="69"/>
      <c r="BJ535" s="69"/>
      <c r="BK535" s="69"/>
      <c r="BL535" s="69"/>
      <c r="BM535" s="69"/>
      <c r="BN535" s="69"/>
      <c r="BO535" s="69"/>
      <c r="BP535" s="69"/>
      <c r="BQ535" s="69"/>
      <c r="BR535" s="8"/>
    </row>
    <row r="536" ht="12.0" customHeight="1">
      <c r="A536" s="69"/>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69"/>
      <c r="AS536" s="69"/>
      <c r="AT536" s="69"/>
      <c r="AU536" s="69"/>
      <c r="AV536" s="69"/>
      <c r="AW536" s="69"/>
      <c r="AX536" s="69"/>
      <c r="AY536" s="69"/>
      <c r="AZ536" s="69"/>
      <c r="BA536" s="69"/>
      <c r="BB536" s="69"/>
      <c r="BC536" s="69"/>
      <c r="BD536" s="69"/>
      <c r="BE536" s="69"/>
      <c r="BF536" s="69"/>
      <c r="BG536" s="69"/>
      <c r="BH536" s="69"/>
      <c r="BI536" s="69"/>
      <c r="BJ536" s="69"/>
      <c r="BK536" s="69"/>
      <c r="BL536" s="69"/>
      <c r="BM536" s="69"/>
      <c r="BN536" s="69"/>
      <c r="BO536" s="69"/>
      <c r="BP536" s="69"/>
      <c r="BQ536" s="69"/>
      <c r="BR536" s="8"/>
    </row>
    <row r="537" ht="12.0" customHeight="1">
      <c r="A537" s="69"/>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69"/>
      <c r="AS537" s="69"/>
      <c r="AT537" s="69"/>
      <c r="AU537" s="69"/>
      <c r="AV537" s="69"/>
      <c r="AW537" s="69"/>
      <c r="AX537" s="69"/>
      <c r="AY537" s="69"/>
      <c r="AZ537" s="69"/>
      <c r="BA537" s="69"/>
      <c r="BB537" s="69"/>
      <c r="BC537" s="69"/>
      <c r="BD537" s="69"/>
      <c r="BE537" s="69"/>
      <c r="BF537" s="69"/>
      <c r="BG537" s="69"/>
      <c r="BH537" s="69"/>
      <c r="BI537" s="69"/>
      <c r="BJ537" s="69"/>
      <c r="BK537" s="69"/>
      <c r="BL537" s="69"/>
      <c r="BM537" s="69"/>
      <c r="BN537" s="69"/>
      <c r="BO537" s="69"/>
      <c r="BP537" s="69"/>
      <c r="BQ537" s="69"/>
      <c r="BR537" s="8"/>
    </row>
    <row r="538" ht="12.0" customHeight="1">
      <c r="A538" s="69"/>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69"/>
      <c r="AS538" s="69"/>
      <c r="AT538" s="69"/>
      <c r="AU538" s="69"/>
      <c r="AV538" s="69"/>
      <c r="AW538" s="69"/>
      <c r="AX538" s="69"/>
      <c r="AY538" s="69"/>
      <c r="AZ538" s="69"/>
      <c r="BA538" s="69"/>
      <c r="BB538" s="69"/>
      <c r="BC538" s="69"/>
      <c r="BD538" s="69"/>
      <c r="BE538" s="69"/>
      <c r="BF538" s="69"/>
      <c r="BG538" s="69"/>
      <c r="BH538" s="69"/>
      <c r="BI538" s="69"/>
      <c r="BJ538" s="69"/>
      <c r="BK538" s="69"/>
      <c r="BL538" s="69"/>
      <c r="BM538" s="69"/>
      <c r="BN538" s="69"/>
      <c r="BO538" s="69"/>
      <c r="BP538" s="69"/>
      <c r="BQ538" s="69"/>
      <c r="BR538" s="8"/>
    </row>
    <row r="539" ht="12.0" customHeight="1">
      <c r="A539" s="69"/>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69"/>
      <c r="AS539" s="69"/>
      <c r="AT539" s="69"/>
      <c r="AU539" s="69"/>
      <c r="AV539" s="69"/>
      <c r="AW539" s="69"/>
      <c r="AX539" s="69"/>
      <c r="AY539" s="69"/>
      <c r="AZ539" s="69"/>
      <c r="BA539" s="69"/>
      <c r="BB539" s="69"/>
      <c r="BC539" s="69"/>
      <c r="BD539" s="69"/>
      <c r="BE539" s="69"/>
      <c r="BF539" s="69"/>
      <c r="BG539" s="69"/>
      <c r="BH539" s="69"/>
      <c r="BI539" s="69"/>
      <c r="BJ539" s="69"/>
      <c r="BK539" s="69"/>
      <c r="BL539" s="69"/>
      <c r="BM539" s="69"/>
      <c r="BN539" s="69"/>
      <c r="BO539" s="69"/>
      <c r="BP539" s="69"/>
      <c r="BQ539" s="69"/>
      <c r="BR539" s="8"/>
    </row>
    <row r="540" ht="12.0" customHeight="1">
      <c r="A540" s="69"/>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69"/>
      <c r="AS540" s="69"/>
      <c r="AT540" s="69"/>
      <c r="AU540" s="69"/>
      <c r="AV540" s="69"/>
      <c r="AW540" s="69"/>
      <c r="AX540" s="69"/>
      <c r="AY540" s="69"/>
      <c r="AZ540" s="69"/>
      <c r="BA540" s="69"/>
      <c r="BB540" s="69"/>
      <c r="BC540" s="69"/>
      <c r="BD540" s="69"/>
      <c r="BE540" s="69"/>
      <c r="BF540" s="69"/>
      <c r="BG540" s="69"/>
      <c r="BH540" s="69"/>
      <c r="BI540" s="69"/>
      <c r="BJ540" s="69"/>
      <c r="BK540" s="69"/>
      <c r="BL540" s="69"/>
      <c r="BM540" s="69"/>
      <c r="BN540" s="69"/>
      <c r="BO540" s="69"/>
      <c r="BP540" s="69"/>
      <c r="BQ540" s="69"/>
      <c r="BR540" s="8"/>
    </row>
    <row r="541" ht="12.0" customHeight="1">
      <c r="A541" s="69"/>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69"/>
      <c r="AS541" s="69"/>
      <c r="AT541" s="69"/>
      <c r="AU541" s="69"/>
      <c r="AV541" s="69"/>
      <c r="AW541" s="69"/>
      <c r="AX541" s="69"/>
      <c r="AY541" s="69"/>
      <c r="AZ541" s="69"/>
      <c r="BA541" s="69"/>
      <c r="BB541" s="69"/>
      <c r="BC541" s="69"/>
      <c r="BD541" s="69"/>
      <c r="BE541" s="69"/>
      <c r="BF541" s="69"/>
      <c r="BG541" s="69"/>
      <c r="BH541" s="69"/>
      <c r="BI541" s="69"/>
      <c r="BJ541" s="69"/>
      <c r="BK541" s="69"/>
      <c r="BL541" s="69"/>
      <c r="BM541" s="69"/>
      <c r="BN541" s="69"/>
      <c r="BO541" s="69"/>
      <c r="BP541" s="69"/>
      <c r="BQ541" s="69"/>
      <c r="BR541" s="8"/>
    </row>
    <row r="542" ht="12.0" customHeight="1">
      <c r="A542" s="69"/>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69"/>
      <c r="AS542" s="69"/>
      <c r="AT542" s="69"/>
      <c r="AU542" s="69"/>
      <c r="AV542" s="69"/>
      <c r="AW542" s="69"/>
      <c r="AX542" s="69"/>
      <c r="AY542" s="69"/>
      <c r="AZ542" s="69"/>
      <c r="BA542" s="69"/>
      <c r="BB542" s="69"/>
      <c r="BC542" s="69"/>
      <c r="BD542" s="69"/>
      <c r="BE542" s="69"/>
      <c r="BF542" s="69"/>
      <c r="BG542" s="69"/>
      <c r="BH542" s="69"/>
      <c r="BI542" s="69"/>
      <c r="BJ542" s="69"/>
      <c r="BK542" s="69"/>
      <c r="BL542" s="69"/>
      <c r="BM542" s="69"/>
      <c r="BN542" s="69"/>
      <c r="BO542" s="69"/>
      <c r="BP542" s="69"/>
      <c r="BQ542" s="69"/>
      <c r="BR542" s="8"/>
    </row>
    <row r="543" ht="12.0" customHeight="1">
      <c r="A543" s="69"/>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69"/>
      <c r="AS543" s="69"/>
      <c r="AT543" s="69"/>
      <c r="AU543" s="69"/>
      <c r="AV543" s="69"/>
      <c r="AW543" s="69"/>
      <c r="AX543" s="69"/>
      <c r="AY543" s="69"/>
      <c r="AZ543" s="69"/>
      <c r="BA543" s="69"/>
      <c r="BB543" s="69"/>
      <c r="BC543" s="69"/>
      <c r="BD543" s="69"/>
      <c r="BE543" s="69"/>
      <c r="BF543" s="69"/>
      <c r="BG543" s="69"/>
      <c r="BH543" s="69"/>
      <c r="BI543" s="69"/>
      <c r="BJ543" s="69"/>
      <c r="BK543" s="69"/>
      <c r="BL543" s="69"/>
      <c r="BM543" s="69"/>
      <c r="BN543" s="69"/>
      <c r="BO543" s="69"/>
      <c r="BP543" s="69"/>
      <c r="BQ543" s="69"/>
      <c r="BR543" s="8"/>
    </row>
    <row r="544" ht="12.0" customHeight="1">
      <c r="A544" s="69"/>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69"/>
      <c r="AS544" s="69"/>
      <c r="AT544" s="69"/>
      <c r="AU544" s="69"/>
      <c r="AV544" s="69"/>
      <c r="AW544" s="69"/>
      <c r="AX544" s="69"/>
      <c r="AY544" s="69"/>
      <c r="AZ544" s="69"/>
      <c r="BA544" s="69"/>
      <c r="BB544" s="69"/>
      <c r="BC544" s="69"/>
      <c r="BD544" s="69"/>
      <c r="BE544" s="69"/>
      <c r="BF544" s="69"/>
      <c r="BG544" s="69"/>
      <c r="BH544" s="69"/>
      <c r="BI544" s="69"/>
      <c r="BJ544" s="69"/>
      <c r="BK544" s="69"/>
      <c r="BL544" s="69"/>
      <c r="BM544" s="69"/>
      <c r="BN544" s="69"/>
      <c r="BO544" s="69"/>
      <c r="BP544" s="69"/>
      <c r="BQ544" s="69"/>
      <c r="BR544" s="8"/>
    </row>
    <row r="545" ht="12.0" customHeight="1">
      <c r="A545" s="69"/>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69"/>
      <c r="AS545" s="69"/>
      <c r="AT545" s="69"/>
      <c r="AU545" s="69"/>
      <c r="AV545" s="69"/>
      <c r="AW545" s="69"/>
      <c r="AX545" s="69"/>
      <c r="AY545" s="69"/>
      <c r="AZ545" s="69"/>
      <c r="BA545" s="69"/>
      <c r="BB545" s="69"/>
      <c r="BC545" s="69"/>
      <c r="BD545" s="69"/>
      <c r="BE545" s="69"/>
      <c r="BF545" s="69"/>
      <c r="BG545" s="69"/>
      <c r="BH545" s="69"/>
      <c r="BI545" s="69"/>
      <c r="BJ545" s="69"/>
      <c r="BK545" s="69"/>
      <c r="BL545" s="69"/>
      <c r="BM545" s="69"/>
      <c r="BN545" s="69"/>
      <c r="BO545" s="69"/>
      <c r="BP545" s="69"/>
      <c r="BQ545" s="69"/>
      <c r="BR545" s="8"/>
    </row>
    <row r="546" ht="12.0" customHeight="1">
      <c r="A546" s="69"/>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69"/>
      <c r="AS546" s="69"/>
      <c r="AT546" s="69"/>
      <c r="AU546" s="69"/>
      <c r="AV546" s="69"/>
      <c r="AW546" s="69"/>
      <c r="AX546" s="69"/>
      <c r="AY546" s="69"/>
      <c r="AZ546" s="69"/>
      <c r="BA546" s="69"/>
      <c r="BB546" s="69"/>
      <c r="BC546" s="69"/>
      <c r="BD546" s="69"/>
      <c r="BE546" s="69"/>
      <c r="BF546" s="69"/>
      <c r="BG546" s="69"/>
      <c r="BH546" s="69"/>
      <c r="BI546" s="69"/>
      <c r="BJ546" s="69"/>
      <c r="BK546" s="69"/>
      <c r="BL546" s="69"/>
      <c r="BM546" s="69"/>
      <c r="BN546" s="69"/>
      <c r="BO546" s="69"/>
      <c r="BP546" s="69"/>
      <c r="BQ546" s="69"/>
      <c r="BR546" s="8"/>
    </row>
    <row r="547" ht="12.0" customHeight="1">
      <c r="A547" s="69"/>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69"/>
      <c r="AS547" s="69"/>
      <c r="AT547" s="69"/>
      <c r="AU547" s="69"/>
      <c r="AV547" s="69"/>
      <c r="AW547" s="69"/>
      <c r="AX547" s="69"/>
      <c r="AY547" s="69"/>
      <c r="AZ547" s="69"/>
      <c r="BA547" s="69"/>
      <c r="BB547" s="69"/>
      <c r="BC547" s="69"/>
      <c r="BD547" s="69"/>
      <c r="BE547" s="69"/>
      <c r="BF547" s="69"/>
      <c r="BG547" s="69"/>
      <c r="BH547" s="69"/>
      <c r="BI547" s="69"/>
      <c r="BJ547" s="69"/>
      <c r="BK547" s="69"/>
      <c r="BL547" s="69"/>
      <c r="BM547" s="69"/>
      <c r="BN547" s="69"/>
      <c r="BO547" s="69"/>
      <c r="BP547" s="69"/>
      <c r="BQ547" s="69"/>
      <c r="BR547" s="8"/>
    </row>
    <row r="548" ht="12.0" customHeight="1">
      <c r="A548" s="69"/>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69"/>
      <c r="AS548" s="69"/>
      <c r="AT548" s="69"/>
      <c r="AU548" s="69"/>
      <c r="AV548" s="69"/>
      <c r="AW548" s="69"/>
      <c r="AX548" s="69"/>
      <c r="AY548" s="69"/>
      <c r="AZ548" s="69"/>
      <c r="BA548" s="69"/>
      <c r="BB548" s="69"/>
      <c r="BC548" s="69"/>
      <c r="BD548" s="69"/>
      <c r="BE548" s="69"/>
      <c r="BF548" s="69"/>
      <c r="BG548" s="69"/>
      <c r="BH548" s="69"/>
      <c r="BI548" s="69"/>
      <c r="BJ548" s="69"/>
      <c r="BK548" s="69"/>
      <c r="BL548" s="69"/>
      <c r="BM548" s="69"/>
      <c r="BN548" s="69"/>
      <c r="BO548" s="69"/>
      <c r="BP548" s="69"/>
      <c r="BQ548" s="69"/>
      <c r="BR548" s="8"/>
    </row>
    <row r="549" ht="12.0" customHeight="1">
      <c r="A549" s="69"/>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69"/>
      <c r="AS549" s="69"/>
      <c r="AT549" s="69"/>
      <c r="AU549" s="69"/>
      <c r="AV549" s="69"/>
      <c r="AW549" s="69"/>
      <c r="AX549" s="69"/>
      <c r="AY549" s="69"/>
      <c r="AZ549" s="69"/>
      <c r="BA549" s="69"/>
      <c r="BB549" s="69"/>
      <c r="BC549" s="69"/>
      <c r="BD549" s="69"/>
      <c r="BE549" s="69"/>
      <c r="BF549" s="69"/>
      <c r="BG549" s="69"/>
      <c r="BH549" s="69"/>
      <c r="BI549" s="69"/>
      <c r="BJ549" s="69"/>
      <c r="BK549" s="69"/>
      <c r="BL549" s="69"/>
      <c r="BM549" s="69"/>
      <c r="BN549" s="69"/>
      <c r="BO549" s="69"/>
      <c r="BP549" s="69"/>
      <c r="BQ549" s="69"/>
      <c r="BR549" s="8"/>
    </row>
    <row r="550" ht="12.0" customHeight="1">
      <c r="A550" s="69"/>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69"/>
      <c r="AS550" s="69"/>
      <c r="AT550" s="69"/>
      <c r="AU550" s="69"/>
      <c r="AV550" s="69"/>
      <c r="AW550" s="69"/>
      <c r="AX550" s="69"/>
      <c r="AY550" s="69"/>
      <c r="AZ550" s="69"/>
      <c r="BA550" s="69"/>
      <c r="BB550" s="69"/>
      <c r="BC550" s="69"/>
      <c r="BD550" s="69"/>
      <c r="BE550" s="69"/>
      <c r="BF550" s="69"/>
      <c r="BG550" s="69"/>
      <c r="BH550" s="69"/>
      <c r="BI550" s="69"/>
      <c r="BJ550" s="69"/>
      <c r="BK550" s="69"/>
      <c r="BL550" s="69"/>
      <c r="BM550" s="69"/>
      <c r="BN550" s="69"/>
      <c r="BO550" s="69"/>
      <c r="BP550" s="69"/>
      <c r="BQ550" s="69"/>
      <c r="BR550" s="8"/>
    </row>
    <row r="551" ht="12.0" customHeight="1">
      <c r="A551" s="69"/>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69"/>
      <c r="AS551" s="69"/>
      <c r="AT551" s="69"/>
      <c r="AU551" s="69"/>
      <c r="AV551" s="69"/>
      <c r="AW551" s="69"/>
      <c r="AX551" s="69"/>
      <c r="AY551" s="69"/>
      <c r="AZ551" s="69"/>
      <c r="BA551" s="69"/>
      <c r="BB551" s="69"/>
      <c r="BC551" s="69"/>
      <c r="BD551" s="69"/>
      <c r="BE551" s="69"/>
      <c r="BF551" s="69"/>
      <c r="BG551" s="69"/>
      <c r="BH551" s="69"/>
      <c r="BI551" s="69"/>
      <c r="BJ551" s="69"/>
      <c r="BK551" s="69"/>
      <c r="BL551" s="69"/>
      <c r="BM551" s="69"/>
      <c r="BN551" s="69"/>
      <c r="BO551" s="69"/>
      <c r="BP551" s="69"/>
      <c r="BQ551" s="69"/>
      <c r="BR551" s="8"/>
    </row>
    <row r="552" ht="12.0" customHeight="1">
      <c r="A552" s="69"/>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69"/>
      <c r="AS552" s="69"/>
      <c r="AT552" s="69"/>
      <c r="AU552" s="69"/>
      <c r="AV552" s="69"/>
      <c r="AW552" s="69"/>
      <c r="AX552" s="69"/>
      <c r="AY552" s="69"/>
      <c r="AZ552" s="69"/>
      <c r="BA552" s="69"/>
      <c r="BB552" s="69"/>
      <c r="BC552" s="69"/>
      <c r="BD552" s="69"/>
      <c r="BE552" s="69"/>
      <c r="BF552" s="69"/>
      <c r="BG552" s="69"/>
      <c r="BH552" s="69"/>
      <c r="BI552" s="69"/>
      <c r="BJ552" s="69"/>
      <c r="BK552" s="69"/>
      <c r="BL552" s="69"/>
      <c r="BM552" s="69"/>
      <c r="BN552" s="69"/>
      <c r="BO552" s="69"/>
      <c r="BP552" s="69"/>
      <c r="BQ552" s="69"/>
      <c r="BR552" s="8"/>
    </row>
    <row r="553" ht="12.0" customHeight="1">
      <c r="A553" s="69"/>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69"/>
      <c r="AS553" s="69"/>
      <c r="AT553" s="69"/>
      <c r="AU553" s="69"/>
      <c r="AV553" s="69"/>
      <c r="AW553" s="69"/>
      <c r="AX553" s="69"/>
      <c r="AY553" s="69"/>
      <c r="AZ553" s="69"/>
      <c r="BA553" s="69"/>
      <c r="BB553" s="69"/>
      <c r="BC553" s="69"/>
      <c r="BD553" s="69"/>
      <c r="BE553" s="69"/>
      <c r="BF553" s="69"/>
      <c r="BG553" s="69"/>
      <c r="BH553" s="69"/>
      <c r="BI553" s="69"/>
      <c r="BJ553" s="69"/>
      <c r="BK553" s="69"/>
      <c r="BL553" s="69"/>
      <c r="BM553" s="69"/>
      <c r="BN553" s="69"/>
      <c r="BO553" s="69"/>
      <c r="BP553" s="69"/>
      <c r="BQ553" s="69"/>
      <c r="BR553" s="8"/>
    </row>
    <row r="554" ht="12.0" customHeight="1">
      <c r="A554" s="69"/>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69"/>
      <c r="AS554" s="69"/>
      <c r="AT554" s="69"/>
      <c r="AU554" s="69"/>
      <c r="AV554" s="69"/>
      <c r="AW554" s="69"/>
      <c r="AX554" s="69"/>
      <c r="AY554" s="69"/>
      <c r="AZ554" s="69"/>
      <c r="BA554" s="69"/>
      <c r="BB554" s="69"/>
      <c r="BC554" s="69"/>
      <c r="BD554" s="69"/>
      <c r="BE554" s="69"/>
      <c r="BF554" s="69"/>
      <c r="BG554" s="69"/>
      <c r="BH554" s="69"/>
      <c r="BI554" s="69"/>
      <c r="BJ554" s="69"/>
      <c r="BK554" s="69"/>
      <c r="BL554" s="69"/>
      <c r="BM554" s="69"/>
      <c r="BN554" s="69"/>
      <c r="BO554" s="69"/>
      <c r="BP554" s="69"/>
      <c r="BQ554" s="69"/>
      <c r="BR554" s="8"/>
    </row>
    <row r="555" ht="12.0" customHeight="1">
      <c r="A555" s="69"/>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69"/>
      <c r="AS555" s="69"/>
      <c r="AT555" s="69"/>
      <c r="AU555" s="69"/>
      <c r="AV555" s="69"/>
      <c r="AW555" s="69"/>
      <c r="AX555" s="69"/>
      <c r="AY555" s="69"/>
      <c r="AZ555" s="69"/>
      <c r="BA555" s="69"/>
      <c r="BB555" s="69"/>
      <c r="BC555" s="69"/>
      <c r="BD555" s="69"/>
      <c r="BE555" s="69"/>
      <c r="BF555" s="69"/>
      <c r="BG555" s="69"/>
      <c r="BH555" s="69"/>
      <c r="BI555" s="69"/>
      <c r="BJ555" s="69"/>
      <c r="BK555" s="69"/>
      <c r="BL555" s="69"/>
      <c r="BM555" s="69"/>
      <c r="BN555" s="69"/>
      <c r="BO555" s="69"/>
      <c r="BP555" s="69"/>
      <c r="BQ555" s="69"/>
      <c r="BR555" s="8"/>
    </row>
    <row r="556" ht="12.0" customHeight="1">
      <c r="A556" s="69"/>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69"/>
      <c r="AS556" s="69"/>
      <c r="AT556" s="69"/>
      <c r="AU556" s="69"/>
      <c r="AV556" s="69"/>
      <c r="AW556" s="69"/>
      <c r="AX556" s="69"/>
      <c r="AY556" s="69"/>
      <c r="AZ556" s="69"/>
      <c r="BA556" s="69"/>
      <c r="BB556" s="69"/>
      <c r="BC556" s="69"/>
      <c r="BD556" s="69"/>
      <c r="BE556" s="69"/>
      <c r="BF556" s="69"/>
      <c r="BG556" s="69"/>
      <c r="BH556" s="69"/>
      <c r="BI556" s="69"/>
      <c r="BJ556" s="69"/>
      <c r="BK556" s="69"/>
      <c r="BL556" s="69"/>
      <c r="BM556" s="69"/>
      <c r="BN556" s="69"/>
      <c r="BO556" s="69"/>
      <c r="BP556" s="69"/>
      <c r="BQ556" s="69"/>
      <c r="BR556" s="8"/>
    </row>
    <row r="557" ht="12.0" customHeight="1">
      <c r="A557" s="69"/>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69"/>
      <c r="AS557" s="69"/>
      <c r="AT557" s="69"/>
      <c r="AU557" s="69"/>
      <c r="AV557" s="69"/>
      <c r="AW557" s="69"/>
      <c r="AX557" s="69"/>
      <c r="AY557" s="69"/>
      <c r="AZ557" s="69"/>
      <c r="BA557" s="69"/>
      <c r="BB557" s="69"/>
      <c r="BC557" s="69"/>
      <c r="BD557" s="69"/>
      <c r="BE557" s="69"/>
      <c r="BF557" s="69"/>
      <c r="BG557" s="69"/>
      <c r="BH557" s="69"/>
      <c r="BI557" s="69"/>
      <c r="BJ557" s="69"/>
      <c r="BK557" s="69"/>
      <c r="BL557" s="69"/>
      <c r="BM557" s="69"/>
      <c r="BN557" s="69"/>
      <c r="BO557" s="69"/>
      <c r="BP557" s="69"/>
      <c r="BQ557" s="69"/>
      <c r="BR557" s="8"/>
    </row>
    <row r="558" ht="12.0" customHeight="1">
      <c r="A558" s="69"/>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69"/>
      <c r="AS558" s="69"/>
      <c r="AT558" s="69"/>
      <c r="AU558" s="69"/>
      <c r="AV558" s="69"/>
      <c r="AW558" s="69"/>
      <c r="AX558" s="69"/>
      <c r="AY558" s="69"/>
      <c r="AZ558" s="69"/>
      <c r="BA558" s="69"/>
      <c r="BB558" s="69"/>
      <c r="BC558" s="69"/>
      <c r="BD558" s="69"/>
      <c r="BE558" s="69"/>
      <c r="BF558" s="69"/>
      <c r="BG558" s="69"/>
      <c r="BH558" s="69"/>
      <c r="BI558" s="69"/>
      <c r="BJ558" s="69"/>
      <c r="BK558" s="69"/>
      <c r="BL558" s="69"/>
      <c r="BM558" s="69"/>
      <c r="BN558" s="69"/>
      <c r="BO558" s="69"/>
      <c r="BP558" s="69"/>
      <c r="BQ558" s="69"/>
      <c r="BR558" s="8"/>
    </row>
    <row r="559" ht="12.0" customHeight="1">
      <c r="A559" s="69"/>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69"/>
      <c r="AS559" s="69"/>
      <c r="AT559" s="69"/>
      <c r="AU559" s="69"/>
      <c r="AV559" s="69"/>
      <c r="AW559" s="69"/>
      <c r="AX559" s="69"/>
      <c r="AY559" s="69"/>
      <c r="AZ559" s="69"/>
      <c r="BA559" s="69"/>
      <c r="BB559" s="69"/>
      <c r="BC559" s="69"/>
      <c r="BD559" s="69"/>
      <c r="BE559" s="69"/>
      <c r="BF559" s="69"/>
      <c r="BG559" s="69"/>
      <c r="BH559" s="69"/>
      <c r="BI559" s="69"/>
      <c r="BJ559" s="69"/>
      <c r="BK559" s="69"/>
      <c r="BL559" s="69"/>
      <c r="BM559" s="69"/>
      <c r="BN559" s="69"/>
      <c r="BO559" s="69"/>
      <c r="BP559" s="69"/>
      <c r="BQ559" s="69"/>
      <c r="BR559" s="8"/>
    </row>
    <row r="560" ht="12.0" customHeight="1">
      <c r="A560" s="69"/>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69"/>
      <c r="AS560" s="69"/>
      <c r="AT560" s="69"/>
      <c r="AU560" s="69"/>
      <c r="AV560" s="69"/>
      <c r="AW560" s="69"/>
      <c r="AX560" s="69"/>
      <c r="AY560" s="69"/>
      <c r="AZ560" s="69"/>
      <c r="BA560" s="69"/>
      <c r="BB560" s="69"/>
      <c r="BC560" s="69"/>
      <c r="BD560" s="69"/>
      <c r="BE560" s="69"/>
      <c r="BF560" s="69"/>
      <c r="BG560" s="69"/>
      <c r="BH560" s="69"/>
      <c r="BI560" s="69"/>
      <c r="BJ560" s="69"/>
      <c r="BK560" s="69"/>
      <c r="BL560" s="69"/>
      <c r="BM560" s="69"/>
      <c r="BN560" s="69"/>
      <c r="BO560" s="69"/>
      <c r="BP560" s="69"/>
      <c r="BQ560" s="69"/>
      <c r="BR560" s="8"/>
    </row>
    <row r="561" ht="12.0" customHeight="1">
      <c r="A561" s="69"/>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69"/>
      <c r="AS561" s="69"/>
      <c r="AT561" s="69"/>
      <c r="AU561" s="69"/>
      <c r="AV561" s="69"/>
      <c r="AW561" s="69"/>
      <c r="AX561" s="69"/>
      <c r="AY561" s="69"/>
      <c r="AZ561" s="69"/>
      <c r="BA561" s="69"/>
      <c r="BB561" s="69"/>
      <c r="BC561" s="69"/>
      <c r="BD561" s="69"/>
      <c r="BE561" s="69"/>
      <c r="BF561" s="69"/>
      <c r="BG561" s="69"/>
      <c r="BH561" s="69"/>
      <c r="BI561" s="69"/>
      <c r="BJ561" s="69"/>
      <c r="BK561" s="69"/>
      <c r="BL561" s="69"/>
      <c r="BM561" s="69"/>
      <c r="BN561" s="69"/>
      <c r="BO561" s="69"/>
      <c r="BP561" s="69"/>
      <c r="BQ561" s="69"/>
      <c r="BR561" s="8"/>
    </row>
    <row r="562" ht="12.0" customHeight="1">
      <c r="A562" s="69"/>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69"/>
      <c r="AS562" s="69"/>
      <c r="AT562" s="69"/>
      <c r="AU562" s="69"/>
      <c r="AV562" s="69"/>
      <c r="AW562" s="69"/>
      <c r="AX562" s="69"/>
      <c r="AY562" s="69"/>
      <c r="AZ562" s="69"/>
      <c r="BA562" s="69"/>
      <c r="BB562" s="69"/>
      <c r="BC562" s="69"/>
      <c r="BD562" s="69"/>
      <c r="BE562" s="69"/>
      <c r="BF562" s="69"/>
      <c r="BG562" s="69"/>
      <c r="BH562" s="69"/>
      <c r="BI562" s="69"/>
      <c r="BJ562" s="69"/>
      <c r="BK562" s="69"/>
      <c r="BL562" s="69"/>
      <c r="BM562" s="69"/>
      <c r="BN562" s="69"/>
      <c r="BO562" s="69"/>
      <c r="BP562" s="69"/>
      <c r="BQ562" s="69"/>
      <c r="BR562" s="8"/>
    </row>
    <row r="563" ht="12.0" customHeight="1">
      <c r="A563" s="69"/>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69"/>
      <c r="AS563" s="69"/>
      <c r="AT563" s="69"/>
      <c r="AU563" s="69"/>
      <c r="AV563" s="69"/>
      <c r="AW563" s="69"/>
      <c r="AX563" s="69"/>
      <c r="AY563" s="69"/>
      <c r="AZ563" s="69"/>
      <c r="BA563" s="69"/>
      <c r="BB563" s="69"/>
      <c r="BC563" s="69"/>
      <c r="BD563" s="69"/>
      <c r="BE563" s="69"/>
      <c r="BF563" s="69"/>
      <c r="BG563" s="69"/>
      <c r="BH563" s="69"/>
      <c r="BI563" s="69"/>
      <c r="BJ563" s="69"/>
      <c r="BK563" s="69"/>
      <c r="BL563" s="69"/>
      <c r="BM563" s="69"/>
      <c r="BN563" s="69"/>
      <c r="BO563" s="69"/>
      <c r="BP563" s="69"/>
      <c r="BQ563" s="69"/>
      <c r="BR563" s="8"/>
    </row>
    <row r="564" ht="12.0" customHeight="1">
      <c r="A564" s="69"/>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69"/>
      <c r="AS564" s="69"/>
      <c r="AT564" s="69"/>
      <c r="AU564" s="69"/>
      <c r="AV564" s="69"/>
      <c r="AW564" s="69"/>
      <c r="AX564" s="69"/>
      <c r="AY564" s="69"/>
      <c r="AZ564" s="69"/>
      <c r="BA564" s="69"/>
      <c r="BB564" s="69"/>
      <c r="BC564" s="69"/>
      <c r="BD564" s="69"/>
      <c r="BE564" s="69"/>
      <c r="BF564" s="69"/>
      <c r="BG564" s="69"/>
      <c r="BH564" s="69"/>
      <c r="BI564" s="69"/>
      <c r="BJ564" s="69"/>
      <c r="BK564" s="69"/>
      <c r="BL564" s="69"/>
      <c r="BM564" s="69"/>
      <c r="BN564" s="69"/>
      <c r="BO564" s="69"/>
      <c r="BP564" s="69"/>
      <c r="BQ564" s="69"/>
      <c r="BR564" s="8"/>
    </row>
    <row r="565" ht="12.0" customHeight="1">
      <c r="A565" s="69"/>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69"/>
      <c r="AS565" s="69"/>
      <c r="AT565" s="69"/>
      <c r="AU565" s="69"/>
      <c r="AV565" s="69"/>
      <c r="AW565" s="69"/>
      <c r="AX565" s="69"/>
      <c r="AY565" s="69"/>
      <c r="AZ565" s="69"/>
      <c r="BA565" s="69"/>
      <c r="BB565" s="69"/>
      <c r="BC565" s="69"/>
      <c r="BD565" s="69"/>
      <c r="BE565" s="69"/>
      <c r="BF565" s="69"/>
      <c r="BG565" s="69"/>
      <c r="BH565" s="69"/>
      <c r="BI565" s="69"/>
      <c r="BJ565" s="69"/>
      <c r="BK565" s="69"/>
      <c r="BL565" s="69"/>
      <c r="BM565" s="69"/>
      <c r="BN565" s="69"/>
      <c r="BO565" s="69"/>
      <c r="BP565" s="69"/>
      <c r="BQ565" s="69"/>
      <c r="BR565" s="8"/>
    </row>
    <row r="566" ht="12.0" customHeight="1">
      <c r="A566" s="69"/>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69"/>
      <c r="AS566" s="69"/>
      <c r="AT566" s="69"/>
      <c r="AU566" s="69"/>
      <c r="AV566" s="69"/>
      <c r="AW566" s="69"/>
      <c r="AX566" s="69"/>
      <c r="AY566" s="69"/>
      <c r="AZ566" s="69"/>
      <c r="BA566" s="69"/>
      <c r="BB566" s="69"/>
      <c r="BC566" s="69"/>
      <c r="BD566" s="69"/>
      <c r="BE566" s="69"/>
      <c r="BF566" s="69"/>
      <c r="BG566" s="69"/>
      <c r="BH566" s="69"/>
      <c r="BI566" s="69"/>
      <c r="BJ566" s="69"/>
      <c r="BK566" s="69"/>
      <c r="BL566" s="69"/>
      <c r="BM566" s="69"/>
      <c r="BN566" s="69"/>
      <c r="BO566" s="69"/>
      <c r="BP566" s="69"/>
      <c r="BQ566" s="69"/>
      <c r="BR566" s="8"/>
    </row>
    <row r="567" ht="12.0" customHeight="1">
      <c r="A567" s="69"/>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69"/>
      <c r="AS567" s="69"/>
      <c r="AT567" s="69"/>
      <c r="AU567" s="69"/>
      <c r="AV567" s="69"/>
      <c r="AW567" s="69"/>
      <c r="AX567" s="69"/>
      <c r="AY567" s="69"/>
      <c r="AZ567" s="69"/>
      <c r="BA567" s="69"/>
      <c r="BB567" s="69"/>
      <c r="BC567" s="69"/>
      <c r="BD567" s="69"/>
      <c r="BE567" s="69"/>
      <c r="BF567" s="69"/>
      <c r="BG567" s="69"/>
      <c r="BH567" s="69"/>
      <c r="BI567" s="69"/>
      <c r="BJ567" s="69"/>
      <c r="BK567" s="69"/>
      <c r="BL567" s="69"/>
      <c r="BM567" s="69"/>
      <c r="BN567" s="69"/>
      <c r="BO567" s="69"/>
      <c r="BP567" s="69"/>
      <c r="BQ567" s="69"/>
      <c r="BR567" s="8"/>
    </row>
    <row r="568" ht="12.0" customHeight="1">
      <c r="A568" s="69"/>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69"/>
      <c r="AS568" s="69"/>
      <c r="AT568" s="69"/>
      <c r="AU568" s="69"/>
      <c r="AV568" s="69"/>
      <c r="AW568" s="69"/>
      <c r="AX568" s="69"/>
      <c r="AY568" s="69"/>
      <c r="AZ568" s="69"/>
      <c r="BA568" s="69"/>
      <c r="BB568" s="69"/>
      <c r="BC568" s="69"/>
      <c r="BD568" s="69"/>
      <c r="BE568" s="69"/>
      <c r="BF568" s="69"/>
      <c r="BG568" s="69"/>
      <c r="BH568" s="69"/>
      <c r="BI568" s="69"/>
      <c r="BJ568" s="69"/>
      <c r="BK568" s="69"/>
      <c r="BL568" s="69"/>
      <c r="BM568" s="69"/>
      <c r="BN568" s="69"/>
      <c r="BO568" s="69"/>
      <c r="BP568" s="69"/>
      <c r="BQ568" s="69"/>
      <c r="BR568" s="8"/>
    </row>
    <row r="569" ht="12.0" customHeight="1">
      <c r="A569" s="69"/>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69"/>
      <c r="AS569" s="69"/>
      <c r="AT569" s="69"/>
      <c r="AU569" s="69"/>
      <c r="AV569" s="69"/>
      <c r="AW569" s="69"/>
      <c r="AX569" s="69"/>
      <c r="AY569" s="69"/>
      <c r="AZ569" s="69"/>
      <c r="BA569" s="69"/>
      <c r="BB569" s="69"/>
      <c r="BC569" s="69"/>
      <c r="BD569" s="69"/>
      <c r="BE569" s="69"/>
      <c r="BF569" s="69"/>
      <c r="BG569" s="69"/>
      <c r="BH569" s="69"/>
      <c r="BI569" s="69"/>
      <c r="BJ569" s="69"/>
      <c r="BK569" s="69"/>
      <c r="BL569" s="69"/>
      <c r="BM569" s="69"/>
      <c r="BN569" s="69"/>
      <c r="BO569" s="69"/>
      <c r="BP569" s="69"/>
      <c r="BQ569" s="69"/>
      <c r="BR569" s="8"/>
    </row>
    <row r="570" ht="12.0" customHeight="1">
      <c r="A570" s="69"/>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69"/>
      <c r="AS570" s="69"/>
      <c r="AT570" s="69"/>
      <c r="AU570" s="69"/>
      <c r="AV570" s="69"/>
      <c r="AW570" s="69"/>
      <c r="AX570" s="69"/>
      <c r="AY570" s="69"/>
      <c r="AZ570" s="69"/>
      <c r="BA570" s="69"/>
      <c r="BB570" s="69"/>
      <c r="BC570" s="69"/>
      <c r="BD570" s="69"/>
      <c r="BE570" s="69"/>
      <c r="BF570" s="69"/>
      <c r="BG570" s="69"/>
      <c r="BH570" s="69"/>
      <c r="BI570" s="69"/>
      <c r="BJ570" s="69"/>
      <c r="BK570" s="69"/>
      <c r="BL570" s="69"/>
      <c r="BM570" s="69"/>
      <c r="BN570" s="69"/>
      <c r="BO570" s="69"/>
      <c r="BP570" s="69"/>
      <c r="BQ570" s="69"/>
      <c r="BR570" s="8"/>
    </row>
    <row r="571" ht="12.0" customHeight="1">
      <c r="A571" s="69"/>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69"/>
      <c r="AS571" s="69"/>
      <c r="AT571" s="69"/>
      <c r="AU571" s="69"/>
      <c r="AV571" s="69"/>
      <c r="AW571" s="69"/>
      <c r="AX571" s="69"/>
      <c r="AY571" s="69"/>
      <c r="AZ571" s="69"/>
      <c r="BA571" s="69"/>
      <c r="BB571" s="69"/>
      <c r="BC571" s="69"/>
      <c r="BD571" s="69"/>
      <c r="BE571" s="69"/>
      <c r="BF571" s="69"/>
      <c r="BG571" s="69"/>
      <c r="BH571" s="69"/>
      <c r="BI571" s="69"/>
      <c r="BJ571" s="69"/>
      <c r="BK571" s="69"/>
      <c r="BL571" s="69"/>
      <c r="BM571" s="69"/>
      <c r="BN571" s="69"/>
      <c r="BO571" s="69"/>
      <c r="BP571" s="69"/>
      <c r="BQ571" s="69"/>
      <c r="BR571" s="8"/>
    </row>
    <row r="572" ht="12.0" customHeight="1">
      <c r="A572" s="69"/>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69"/>
      <c r="AS572" s="69"/>
      <c r="AT572" s="69"/>
      <c r="AU572" s="69"/>
      <c r="AV572" s="69"/>
      <c r="AW572" s="69"/>
      <c r="AX572" s="69"/>
      <c r="AY572" s="69"/>
      <c r="AZ572" s="69"/>
      <c r="BA572" s="69"/>
      <c r="BB572" s="69"/>
      <c r="BC572" s="69"/>
      <c r="BD572" s="69"/>
      <c r="BE572" s="69"/>
      <c r="BF572" s="69"/>
      <c r="BG572" s="69"/>
      <c r="BH572" s="69"/>
      <c r="BI572" s="69"/>
      <c r="BJ572" s="69"/>
      <c r="BK572" s="69"/>
      <c r="BL572" s="69"/>
      <c r="BM572" s="69"/>
      <c r="BN572" s="69"/>
      <c r="BO572" s="69"/>
      <c r="BP572" s="69"/>
      <c r="BQ572" s="69"/>
      <c r="BR572" s="8"/>
    </row>
    <row r="573" ht="12.0" customHeight="1">
      <c r="A573" s="69"/>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69"/>
      <c r="AS573" s="69"/>
      <c r="AT573" s="69"/>
      <c r="AU573" s="69"/>
      <c r="AV573" s="69"/>
      <c r="AW573" s="69"/>
      <c r="AX573" s="69"/>
      <c r="AY573" s="69"/>
      <c r="AZ573" s="69"/>
      <c r="BA573" s="69"/>
      <c r="BB573" s="69"/>
      <c r="BC573" s="69"/>
      <c r="BD573" s="69"/>
      <c r="BE573" s="69"/>
      <c r="BF573" s="69"/>
      <c r="BG573" s="69"/>
      <c r="BH573" s="69"/>
      <c r="BI573" s="69"/>
      <c r="BJ573" s="69"/>
      <c r="BK573" s="69"/>
      <c r="BL573" s="69"/>
      <c r="BM573" s="69"/>
      <c r="BN573" s="69"/>
      <c r="BO573" s="69"/>
      <c r="BP573" s="69"/>
      <c r="BQ573" s="69"/>
      <c r="BR573" s="8"/>
    </row>
    <row r="574" ht="12.0" customHeight="1">
      <c r="A574" s="69"/>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69"/>
      <c r="AS574" s="69"/>
      <c r="AT574" s="69"/>
      <c r="AU574" s="69"/>
      <c r="AV574" s="69"/>
      <c r="AW574" s="69"/>
      <c r="AX574" s="69"/>
      <c r="AY574" s="69"/>
      <c r="AZ574" s="69"/>
      <c r="BA574" s="69"/>
      <c r="BB574" s="69"/>
      <c r="BC574" s="69"/>
      <c r="BD574" s="69"/>
      <c r="BE574" s="69"/>
      <c r="BF574" s="69"/>
      <c r="BG574" s="69"/>
      <c r="BH574" s="69"/>
      <c r="BI574" s="69"/>
      <c r="BJ574" s="69"/>
      <c r="BK574" s="69"/>
      <c r="BL574" s="69"/>
      <c r="BM574" s="69"/>
      <c r="BN574" s="69"/>
      <c r="BO574" s="69"/>
      <c r="BP574" s="69"/>
      <c r="BQ574" s="69"/>
      <c r="BR574" s="8"/>
    </row>
    <row r="575" ht="12.0" customHeight="1">
      <c r="A575" s="69"/>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69"/>
      <c r="AS575" s="69"/>
      <c r="AT575" s="69"/>
      <c r="AU575" s="69"/>
      <c r="AV575" s="69"/>
      <c r="AW575" s="69"/>
      <c r="AX575" s="69"/>
      <c r="AY575" s="69"/>
      <c r="AZ575" s="69"/>
      <c r="BA575" s="69"/>
      <c r="BB575" s="69"/>
      <c r="BC575" s="69"/>
      <c r="BD575" s="69"/>
      <c r="BE575" s="69"/>
      <c r="BF575" s="69"/>
      <c r="BG575" s="69"/>
      <c r="BH575" s="69"/>
      <c r="BI575" s="69"/>
      <c r="BJ575" s="69"/>
      <c r="BK575" s="69"/>
      <c r="BL575" s="69"/>
      <c r="BM575" s="69"/>
      <c r="BN575" s="69"/>
      <c r="BO575" s="69"/>
      <c r="BP575" s="69"/>
      <c r="BQ575" s="69"/>
      <c r="BR575" s="8"/>
    </row>
    <row r="576" ht="12.0" customHeight="1">
      <c r="A576" s="69"/>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69"/>
      <c r="AS576" s="69"/>
      <c r="AT576" s="69"/>
      <c r="AU576" s="69"/>
      <c r="AV576" s="69"/>
      <c r="AW576" s="69"/>
      <c r="AX576" s="69"/>
      <c r="AY576" s="69"/>
      <c r="AZ576" s="69"/>
      <c r="BA576" s="69"/>
      <c r="BB576" s="69"/>
      <c r="BC576" s="69"/>
      <c r="BD576" s="69"/>
      <c r="BE576" s="69"/>
      <c r="BF576" s="69"/>
      <c r="BG576" s="69"/>
      <c r="BH576" s="69"/>
      <c r="BI576" s="69"/>
      <c r="BJ576" s="69"/>
      <c r="BK576" s="69"/>
      <c r="BL576" s="69"/>
      <c r="BM576" s="69"/>
      <c r="BN576" s="69"/>
      <c r="BO576" s="69"/>
      <c r="BP576" s="69"/>
      <c r="BQ576" s="69"/>
      <c r="BR576" s="8"/>
    </row>
    <row r="577" ht="12.0" customHeight="1">
      <c r="A577" s="69"/>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69"/>
      <c r="AS577" s="69"/>
      <c r="AT577" s="69"/>
      <c r="AU577" s="69"/>
      <c r="AV577" s="69"/>
      <c r="AW577" s="69"/>
      <c r="AX577" s="69"/>
      <c r="AY577" s="69"/>
      <c r="AZ577" s="69"/>
      <c r="BA577" s="69"/>
      <c r="BB577" s="69"/>
      <c r="BC577" s="69"/>
      <c r="BD577" s="69"/>
      <c r="BE577" s="69"/>
      <c r="BF577" s="69"/>
      <c r="BG577" s="69"/>
      <c r="BH577" s="69"/>
      <c r="BI577" s="69"/>
      <c r="BJ577" s="69"/>
      <c r="BK577" s="69"/>
      <c r="BL577" s="69"/>
      <c r="BM577" s="69"/>
      <c r="BN577" s="69"/>
      <c r="BO577" s="69"/>
      <c r="BP577" s="69"/>
      <c r="BQ577" s="69"/>
      <c r="BR577" s="8"/>
    </row>
    <row r="578" ht="12.0" customHeight="1">
      <c r="A578" s="69"/>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69"/>
      <c r="AS578" s="69"/>
      <c r="AT578" s="69"/>
      <c r="AU578" s="69"/>
      <c r="AV578" s="69"/>
      <c r="AW578" s="69"/>
      <c r="AX578" s="69"/>
      <c r="AY578" s="69"/>
      <c r="AZ578" s="69"/>
      <c r="BA578" s="69"/>
      <c r="BB578" s="69"/>
      <c r="BC578" s="69"/>
      <c r="BD578" s="69"/>
      <c r="BE578" s="69"/>
      <c r="BF578" s="69"/>
      <c r="BG578" s="69"/>
      <c r="BH578" s="69"/>
      <c r="BI578" s="69"/>
      <c r="BJ578" s="69"/>
      <c r="BK578" s="69"/>
      <c r="BL578" s="69"/>
      <c r="BM578" s="69"/>
      <c r="BN578" s="69"/>
      <c r="BO578" s="69"/>
      <c r="BP578" s="69"/>
      <c r="BQ578" s="69"/>
      <c r="BR578" s="8"/>
    </row>
    <row r="579" ht="12.0" customHeight="1">
      <c r="A579" s="69"/>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69"/>
      <c r="AS579" s="69"/>
      <c r="AT579" s="69"/>
      <c r="AU579" s="69"/>
      <c r="AV579" s="69"/>
      <c r="AW579" s="69"/>
      <c r="AX579" s="69"/>
      <c r="AY579" s="69"/>
      <c r="AZ579" s="69"/>
      <c r="BA579" s="69"/>
      <c r="BB579" s="69"/>
      <c r="BC579" s="69"/>
      <c r="BD579" s="69"/>
      <c r="BE579" s="69"/>
      <c r="BF579" s="69"/>
      <c r="BG579" s="69"/>
      <c r="BH579" s="69"/>
      <c r="BI579" s="69"/>
      <c r="BJ579" s="69"/>
      <c r="BK579" s="69"/>
      <c r="BL579" s="69"/>
      <c r="BM579" s="69"/>
      <c r="BN579" s="69"/>
      <c r="BO579" s="69"/>
      <c r="BP579" s="69"/>
      <c r="BQ579" s="69"/>
      <c r="BR579" s="8"/>
    </row>
    <row r="580" ht="12.0" customHeight="1">
      <c r="A580" s="69"/>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69"/>
      <c r="AS580" s="69"/>
      <c r="AT580" s="69"/>
      <c r="AU580" s="69"/>
      <c r="AV580" s="69"/>
      <c r="AW580" s="69"/>
      <c r="AX580" s="69"/>
      <c r="AY580" s="69"/>
      <c r="AZ580" s="69"/>
      <c r="BA580" s="69"/>
      <c r="BB580" s="69"/>
      <c r="BC580" s="69"/>
      <c r="BD580" s="69"/>
      <c r="BE580" s="69"/>
      <c r="BF580" s="69"/>
      <c r="BG580" s="69"/>
      <c r="BH580" s="69"/>
      <c r="BI580" s="69"/>
      <c r="BJ580" s="69"/>
      <c r="BK580" s="69"/>
      <c r="BL580" s="69"/>
      <c r="BM580" s="69"/>
      <c r="BN580" s="69"/>
      <c r="BO580" s="69"/>
      <c r="BP580" s="69"/>
      <c r="BQ580" s="69"/>
      <c r="BR580" s="8"/>
    </row>
    <row r="581" ht="12.0" customHeight="1">
      <c r="A581" s="69"/>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69"/>
      <c r="AS581" s="69"/>
      <c r="AT581" s="69"/>
      <c r="AU581" s="69"/>
      <c r="AV581" s="69"/>
      <c r="AW581" s="69"/>
      <c r="AX581" s="69"/>
      <c r="AY581" s="69"/>
      <c r="AZ581" s="69"/>
      <c r="BA581" s="69"/>
      <c r="BB581" s="69"/>
      <c r="BC581" s="69"/>
      <c r="BD581" s="69"/>
      <c r="BE581" s="69"/>
      <c r="BF581" s="69"/>
      <c r="BG581" s="69"/>
      <c r="BH581" s="69"/>
      <c r="BI581" s="69"/>
      <c r="BJ581" s="69"/>
      <c r="BK581" s="69"/>
      <c r="BL581" s="69"/>
      <c r="BM581" s="69"/>
      <c r="BN581" s="69"/>
      <c r="BO581" s="69"/>
      <c r="BP581" s="69"/>
      <c r="BQ581" s="69"/>
      <c r="BR581" s="8"/>
    </row>
    <row r="582" ht="12.0" customHeight="1">
      <c r="A582" s="69"/>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69"/>
      <c r="AS582" s="69"/>
      <c r="AT582" s="69"/>
      <c r="AU582" s="69"/>
      <c r="AV582" s="69"/>
      <c r="AW582" s="69"/>
      <c r="AX582" s="69"/>
      <c r="AY582" s="69"/>
      <c r="AZ582" s="69"/>
      <c r="BA582" s="69"/>
      <c r="BB582" s="69"/>
      <c r="BC582" s="69"/>
      <c r="BD582" s="69"/>
      <c r="BE582" s="69"/>
      <c r="BF582" s="69"/>
      <c r="BG582" s="69"/>
      <c r="BH582" s="69"/>
      <c r="BI582" s="69"/>
      <c r="BJ582" s="69"/>
      <c r="BK582" s="69"/>
      <c r="BL582" s="69"/>
      <c r="BM582" s="69"/>
      <c r="BN582" s="69"/>
      <c r="BO582" s="69"/>
      <c r="BP582" s="69"/>
      <c r="BQ582" s="69"/>
      <c r="BR582" s="8"/>
    </row>
    <row r="583" ht="12.0" customHeight="1">
      <c r="A583" s="69"/>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69"/>
      <c r="AS583" s="69"/>
      <c r="AT583" s="69"/>
      <c r="AU583" s="69"/>
      <c r="AV583" s="69"/>
      <c r="AW583" s="69"/>
      <c r="AX583" s="69"/>
      <c r="AY583" s="69"/>
      <c r="AZ583" s="69"/>
      <c r="BA583" s="69"/>
      <c r="BB583" s="69"/>
      <c r="BC583" s="69"/>
      <c r="BD583" s="69"/>
      <c r="BE583" s="69"/>
      <c r="BF583" s="69"/>
      <c r="BG583" s="69"/>
      <c r="BH583" s="69"/>
      <c r="BI583" s="69"/>
      <c r="BJ583" s="69"/>
      <c r="BK583" s="69"/>
      <c r="BL583" s="69"/>
      <c r="BM583" s="69"/>
      <c r="BN583" s="69"/>
      <c r="BO583" s="69"/>
      <c r="BP583" s="69"/>
      <c r="BQ583" s="69"/>
      <c r="BR583" s="8"/>
    </row>
    <row r="584" ht="12.0" customHeight="1">
      <c r="A584" s="69"/>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69"/>
      <c r="AS584" s="69"/>
      <c r="AT584" s="69"/>
      <c r="AU584" s="69"/>
      <c r="AV584" s="69"/>
      <c r="AW584" s="69"/>
      <c r="AX584" s="69"/>
      <c r="AY584" s="69"/>
      <c r="AZ584" s="69"/>
      <c r="BA584" s="69"/>
      <c r="BB584" s="69"/>
      <c r="BC584" s="69"/>
      <c r="BD584" s="69"/>
      <c r="BE584" s="69"/>
      <c r="BF584" s="69"/>
      <c r="BG584" s="69"/>
      <c r="BH584" s="69"/>
      <c r="BI584" s="69"/>
      <c r="BJ584" s="69"/>
      <c r="BK584" s="69"/>
      <c r="BL584" s="69"/>
      <c r="BM584" s="69"/>
      <c r="BN584" s="69"/>
      <c r="BO584" s="69"/>
      <c r="BP584" s="69"/>
      <c r="BQ584" s="69"/>
      <c r="BR584" s="8"/>
    </row>
    <row r="585" ht="12.0" customHeight="1">
      <c r="A585" s="69"/>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69"/>
      <c r="AS585" s="69"/>
      <c r="AT585" s="69"/>
      <c r="AU585" s="69"/>
      <c r="AV585" s="69"/>
      <c r="AW585" s="69"/>
      <c r="AX585" s="69"/>
      <c r="AY585" s="69"/>
      <c r="AZ585" s="69"/>
      <c r="BA585" s="69"/>
      <c r="BB585" s="69"/>
      <c r="BC585" s="69"/>
      <c r="BD585" s="69"/>
      <c r="BE585" s="69"/>
      <c r="BF585" s="69"/>
      <c r="BG585" s="69"/>
      <c r="BH585" s="69"/>
      <c r="BI585" s="69"/>
      <c r="BJ585" s="69"/>
      <c r="BK585" s="69"/>
      <c r="BL585" s="69"/>
      <c r="BM585" s="69"/>
      <c r="BN585" s="69"/>
      <c r="BO585" s="69"/>
      <c r="BP585" s="69"/>
      <c r="BQ585" s="69"/>
      <c r="BR585" s="8"/>
    </row>
    <row r="586" ht="12.0" customHeight="1">
      <c r="A586" s="69"/>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69"/>
      <c r="AS586" s="69"/>
      <c r="AT586" s="69"/>
      <c r="AU586" s="69"/>
      <c r="AV586" s="69"/>
      <c r="AW586" s="69"/>
      <c r="AX586" s="69"/>
      <c r="AY586" s="69"/>
      <c r="AZ586" s="69"/>
      <c r="BA586" s="69"/>
      <c r="BB586" s="69"/>
      <c r="BC586" s="69"/>
      <c r="BD586" s="69"/>
      <c r="BE586" s="69"/>
      <c r="BF586" s="69"/>
      <c r="BG586" s="69"/>
      <c r="BH586" s="69"/>
      <c r="BI586" s="69"/>
      <c r="BJ586" s="69"/>
      <c r="BK586" s="69"/>
      <c r="BL586" s="69"/>
      <c r="BM586" s="69"/>
      <c r="BN586" s="69"/>
      <c r="BO586" s="69"/>
      <c r="BP586" s="69"/>
      <c r="BQ586" s="69"/>
      <c r="BR586" s="8"/>
    </row>
    <row r="587" ht="12.0" customHeight="1">
      <c r="A587" s="69"/>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69"/>
      <c r="AS587" s="69"/>
      <c r="AT587" s="69"/>
      <c r="AU587" s="69"/>
      <c r="AV587" s="69"/>
      <c r="AW587" s="69"/>
      <c r="AX587" s="69"/>
      <c r="AY587" s="69"/>
      <c r="AZ587" s="69"/>
      <c r="BA587" s="69"/>
      <c r="BB587" s="69"/>
      <c r="BC587" s="69"/>
      <c r="BD587" s="69"/>
      <c r="BE587" s="69"/>
      <c r="BF587" s="69"/>
      <c r="BG587" s="69"/>
      <c r="BH587" s="69"/>
      <c r="BI587" s="69"/>
      <c r="BJ587" s="69"/>
      <c r="BK587" s="69"/>
      <c r="BL587" s="69"/>
      <c r="BM587" s="69"/>
      <c r="BN587" s="69"/>
      <c r="BO587" s="69"/>
      <c r="BP587" s="69"/>
      <c r="BQ587" s="69"/>
      <c r="BR587" s="8"/>
    </row>
    <row r="588" ht="12.0" customHeight="1">
      <c r="A588" s="69"/>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69"/>
      <c r="AS588" s="69"/>
      <c r="AT588" s="69"/>
      <c r="AU588" s="69"/>
      <c r="AV588" s="69"/>
      <c r="AW588" s="69"/>
      <c r="AX588" s="69"/>
      <c r="AY588" s="69"/>
      <c r="AZ588" s="69"/>
      <c r="BA588" s="69"/>
      <c r="BB588" s="69"/>
      <c r="BC588" s="69"/>
      <c r="BD588" s="69"/>
      <c r="BE588" s="69"/>
      <c r="BF588" s="69"/>
      <c r="BG588" s="69"/>
      <c r="BH588" s="69"/>
      <c r="BI588" s="69"/>
      <c r="BJ588" s="69"/>
      <c r="BK588" s="69"/>
      <c r="BL588" s="69"/>
      <c r="BM588" s="69"/>
      <c r="BN588" s="69"/>
      <c r="BO588" s="69"/>
      <c r="BP588" s="69"/>
      <c r="BQ588" s="69"/>
      <c r="BR588" s="8"/>
    </row>
    <row r="589" ht="12.0" customHeight="1">
      <c r="A589" s="69"/>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69"/>
      <c r="AS589" s="69"/>
      <c r="AT589" s="69"/>
      <c r="AU589" s="69"/>
      <c r="AV589" s="69"/>
      <c r="AW589" s="69"/>
      <c r="AX589" s="69"/>
      <c r="AY589" s="69"/>
      <c r="AZ589" s="69"/>
      <c r="BA589" s="69"/>
      <c r="BB589" s="69"/>
      <c r="BC589" s="69"/>
      <c r="BD589" s="69"/>
      <c r="BE589" s="69"/>
      <c r="BF589" s="69"/>
      <c r="BG589" s="69"/>
      <c r="BH589" s="69"/>
      <c r="BI589" s="69"/>
      <c r="BJ589" s="69"/>
      <c r="BK589" s="69"/>
      <c r="BL589" s="69"/>
      <c r="BM589" s="69"/>
      <c r="BN589" s="69"/>
      <c r="BO589" s="69"/>
      <c r="BP589" s="69"/>
      <c r="BQ589" s="69"/>
      <c r="BR589" s="8"/>
    </row>
    <row r="590" ht="12.0" customHeight="1">
      <c r="A590" s="69"/>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69"/>
      <c r="AS590" s="69"/>
      <c r="AT590" s="69"/>
      <c r="AU590" s="69"/>
      <c r="AV590" s="69"/>
      <c r="AW590" s="69"/>
      <c r="AX590" s="69"/>
      <c r="AY590" s="69"/>
      <c r="AZ590" s="69"/>
      <c r="BA590" s="69"/>
      <c r="BB590" s="69"/>
      <c r="BC590" s="69"/>
      <c r="BD590" s="69"/>
      <c r="BE590" s="69"/>
      <c r="BF590" s="69"/>
      <c r="BG590" s="69"/>
      <c r="BH590" s="69"/>
      <c r="BI590" s="69"/>
      <c r="BJ590" s="69"/>
      <c r="BK590" s="69"/>
      <c r="BL590" s="69"/>
      <c r="BM590" s="69"/>
      <c r="BN590" s="69"/>
      <c r="BO590" s="69"/>
      <c r="BP590" s="69"/>
      <c r="BQ590" s="69"/>
      <c r="BR590" s="8"/>
    </row>
    <row r="591" ht="12.0" customHeight="1">
      <c r="A591" s="69"/>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69"/>
      <c r="AS591" s="69"/>
      <c r="AT591" s="69"/>
      <c r="AU591" s="69"/>
      <c r="AV591" s="69"/>
      <c r="AW591" s="69"/>
      <c r="AX591" s="69"/>
      <c r="AY591" s="69"/>
      <c r="AZ591" s="69"/>
      <c r="BA591" s="69"/>
      <c r="BB591" s="69"/>
      <c r="BC591" s="69"/>
      <c r="BD591" s="69"/>
      <c r="BE591" s="69"/>
      <c r="BF591" s="69"/>
      <c r="BG591" s="69"/>
      <c r="BH591" s="69"/>
      <c r="BI591" s="69"/>
      <c r="BJ591" s="69"/>
      <c r="BK591" s="69"/>
      <c r="BL591" s="69"/>
      <c r="BM591" s="69"/>
      <c r="BN591" s="69"/>
      <c r="BO591" s="69"/>
      <c r="BP591" s="69"/>
      <c r="BQ591" s="69"/>
      <c r="BR591" s="8"/>
    </row>
    <row r="592" ht="12.0" customHeight="1">
      <c r="A592" s="69"/>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69"/>
      <c r="AS592" s="69"/>
      <c r="AT592" s="69"/>
      <c r="AU592" s="69"/>
      <c r="AV592" s="69"/>
      <c r="AW592" s="69"/>
      <c r="AX592" s="69"/>
      <c r="AY592" s="69"/>
      <c r="AZ592" s="69"/>
      <c r="BA592" s="69"/>
      <c r="BB592" s="69"/>
      <c r="BC592" s="69"/>
      <c r="BD592" s="69"/>
      <c r="BE592" s="69"/>
      <c r="BF592" s="69"/>
      <c r="BG592" s="69"/>
      <c r="BH592" s="69"/>
      <c r="BI592" s="69"/>
      <c r="BJ592" s="69"/>
      <c r="BK592" s="69"/>
      <c r="BL592" s="69"/>
      <c r="BM592" s="69"/>
      <c r="BN592" s="69"/>
      <c r="BO592" s="69"/>
      <c r="BP592" s="69"/>
      <c r="BQ592" s="69"/>
      <c r="BR592" s="8"/>
    </row>
    <row r="593" ht="12.0" customHeight="1">
      <c r="A593" s="69"/>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69"/>
      <c r="AS593" s="69"/>
      <c r="AT593" s="69"/>
      <c r="AU593" s="69"/>
      <c r="AV593" s="69"/>
      <c r="AW593" s="69"/>
      <c r="AX593" s="69"/>
      <c r="AY593" s="69"/>
      <c r="AZ593" s="69"/>
      <c r="BA593" s="69"/>
      <c r="BB593" s="69"/>
      <c r="BC593" s="69"/>
      <c r="BD593" s="69"/>
      <c r="BE593" s="69"/>
      <c r="BF593" s="69"/>
      <c r="BG593" s="69"/>
      <c r="BH593" s="69"/>
      <c r="BI593" s="69"/>
      <c r="BJ593" s="69"/>
      <c r="BK593" s="69"/>
      <c r="BL593" s="69"/>
      <c r="BM593" s="69"/>
      <c r="BN593" s="69"/>
      <c r="BO593" s="69"/>
      <c r="BP593" s="69"/>
      <c r="BQ593" s="69"/>
      <c r="BR593" s="8"/>
    </row>
    <row r="594" ht="12.0" customHeight="1">
      <c r="A594" s="69"/>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69"/>
      <c r="AS594" s="69"/>
      <c r="AT594" s="69"/>
      <c r="AU594" s="69"/>
      <c r="AV594" s="69"/>
      <c r="AW594" s="69"/>
      <c r="AX594" s="69"/>
      <c r="AY594" s="69"/>
      <c r="AZ594" s="69"/>
      <c r="BA594" s="69"/>
      <c r="BB594" s="69"/>
      <c r="BC594" s="69"/>
      <c r="BD594" s="69"/>
      <c r="BE594" s="69"/>
      <c r="BF594" s="69"/>
      <c r="BG594" s="69"/>
      <c r="BH594" s="69"/>
      <c r="BI594" s="69"/>
      <c r="BJ594" s="69"/>
      <c r="BK594" s="69"/>
      <c r="BL594" s="69"/>
      <c r="BM594" s="69"/>
      <c r="BN594" s="69"/>
      <c r="BO594" s="69"/>
      <c r="BP594" s="69"/>
      <c r="BQ594" s="69"/>
      <c r="BR594" s="8"/>
    </row>
    <row r="595" ht="12.0" customHeight="1">
      <c r="A595" s="69"/>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69"/>
      <c r="AS595" s="69"/>
      <c r="AT595" s="69"/>
      <c r="AU595" s="69"/>
      <c r="AV595" s="69"/>
      <c r="AW595" s="69"/>
      <c r="AX595" s="69"/>
      <c r="AY595" s="69"/>
      <c r="AZ595" s="69"/>
      <c r="BA595" s="69"/>
      <c r="BB595" s="69"/>
      <c r="BC595" s="69"/>
      <c r="BD595" s="69"/>
      <c r="BE595" s="69"/>
      <c r="BF595" s="69"/>
      <c r="BG595" s="69"/>
      <c r="BH595" s="69"/>
      <c r="BI595" s="69"/>
      <c r="BJ595" s="69"/>
      <c r="BK595" s="69"/>
      <c r="BL595" s="69"/>
      <c r="BM595" s="69"/>
      <c r="BN595" s="69"/>
      <c r="BO595" s="69"/>
      <c r="BP595" s="69"/>
      <c r="BQ595" s="69"/>
      <c r="BR595" s="8"/>
    </row>
    <row r="596" ht="12.0" customHeight="1">
      <c r="A596" s="69"/>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69"/>
      <c r="AS596" s="69"/>
      <c r="AT596" s="69"/>
      <c r="AU596" s="69"/>
      <c r="AV596" s="69"/>
      <c r="AW596" s="69"/>
      <c r="AX596" s="69"/>
      <c r="AY596" s="69"/>
      <c r="AZ596" s="69"/>
      <c r="BA596" s="69"/>
      <c r="BB596" s="69"/>
      <c r="BC596" s="69"/>
      <c r="BD596" s="69"/>
      <c r="BE596" s="69"/>
      <c r="BF596" s="69"/>
      <c r="BG596" s="69"/>
      <c r="BH596" s="69"/>
      <c r="BI596" s="69"/>
      <c r="BJ596" s="69"/>
      <c r="BK596" s="69"/>
      <c r="BL596" s="69"/>
      <c r="BM596" s="69"/>
      <c r="BN596" s="69"/>
      <c r="BO596" s="69"/>
      <c r="BP596" s="69"/>
      <c r="BQ596" s="69"/>
      <c r="BR596" s="8"/>
    </row>
    <row r="597" ht="12.0" customHeight="1">
      <c r="A597" s="69"/>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69"/>
      <c r="AS597" s="69"/>
      <c r="AT597" s="69"/>
      <c r="AU597" s="69"/>
      <c r="AV597" s="69"/>
      <c r="AW597" s="69"/>
      <c r="AX597" s="69"/>
      <c r="AY597" s="69"/>
      <c r="AZ597" s="69"/>
      <c r="BA597" s="69"/>
      <c r="BB597" s="69"/>
      <c r="BC597" s="69"/>
      <c r="BD597" s="69"/>
      <c r="BE597" s="69"/>
      <c r="BF597" s="69"/>
      <c r="BG597" s="69"/>
      <c r="BH597" s="69"/>
      <c r="BI597" s="69"/>
      <c r="BJ597" s="69"/>
      <c r="BK597" s="69"/>
      <c r="BL597" s="69"/>
      <c r="BM597" s="69"/>
      <c r="BN597" s="69"/>
      <c r="BO597" s="69"/>
      <c r="BP597" s="69"/>
      <c r="BQ597" s="69"/>
      <c r="BR597" s="8"/>
    </row>
    <row r="598" ht="12.0" customHeight="1">
      <c r="A598" s="69"/>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69"/>
      <c r="AS598" s="69"/>
      <c r="AT598" s="69"/>
      <c r="AU598" s="69"/>
      <c r="AV598" s="69"/>
      <c r="AW598" s="69"/>
      <c r="AX598" s="69"/>
      <c r="AY598" s="69"/>
      <c r="AZ598" s="69"/>
      <c r="BA598" s="69"/>
      <c r="BB598" s="69"/>
      <c r="BC598" s="69"/>
      <c r="BD598" s="69"/>
      <c r="BE598" s="69"/>
      <c r="BF598" s="69"/>
      <c r="BG598" s="69"/>
      <c r="BH598" s="69"/>
      <c r="BI598" s="69"/>
      <c r="BJ598" s="69"/>
      <c r="BK598" s="69"/>
      <c r="BL598" s="69"/>
      <c r="BM598" s="69"/>
      <c r="BN598" s="69"/>
      <c r="BO598" s="69"/>
      <c r="BP598" s="69"/>
      <c r="BQ598" s="69"/>
      <c r="BR598" s="8"/>
    </row>
    <row r="599" ht="12.0" customHeight="1">
      <c r="A599" s="69"/>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69"/>
      <c r="AS599" s="69"/>
      <c r="AT599" s="69"/>
      <c r="AU599" s="69"/>
      <c r="AV599" s="69"/>
      <c r="AW599" s="69"/>
      <c r="AX599" s="69"/>
      <c r="AY599" s="69"/>
      <c r="AZ599" s="69"/>
      <c r="BA599" s="69"/>
      <c r="BB599" s="69"/>
      <c r="BC599" s="69"/>
      <c r="BD599" s="69"/>
      <c r="BE599" s="69"/>
      <c r="BF599" s="69"/>
      <c r="BG599" s="69"/>
      <c r="BH599" s="69"/>
      <c r="BI599" s="69"/>
      <c r="BJ599" s="69"/>
      <c r="BK599" s="69"/>
      <c r="BL599" s="69"/>
      <c r="BM599" s="69"/>
      <c r="BN599" s="69"/>
      <c r="BO599" s="69"/>
      <c r="BP599" s="69"/>
      <c r="BQ599" s="69"/>
      <c r="BR599" s="8"/>
    </row>
    <row r="600" ht="12.0" customHeight="1">
      <c r="A600" s="69"/>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69"/>
      <c r="AS600" s="69"/>
      <c r="AT600" s="69"/>
      <c r="AU600" s="69"/>
      <c r="AV600" s="69"/>
      <c r="AW600" s="69"/>
      <c r="AX600" s="69"/>
      <c r="AY600" s="69"/>
      <c r="AZ600" s="69"/>
      <c r="BA600" s="69"/>
      <c r="BB600" s="69"/>
      <c r="BC600" s="69"/>
      <c r="BD600" s="69"/>
      <c r="BE600" s="69"/>
      <c r="BF600" s="69"/>
      <c r="BG600" s="69"/>
      <c r="BH600" s="69"/>
      <c r="BI600" s="69"/>
      <c r="BJ600" s="69"/>
      <c r="BK600" s="69"/>
      <c r="BL600" s="69"/>
      <c r="BM600" s="69"/>
      <c r="BN600" s="69"/>
      <c r="BO600" s="69"/>
      <c r="BP600" s="69"/>
      <c r="BQ600" s="69"/>
      <c r="BR600" s="8"/>
    </row>
    <row r="601" ht="12.0" customHeight="1">
      <c r="A601" s="69"/>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69"/>
      <c r="AS601" s="69"/>
      <c r="AT601" s="69"/>
      <c r="AU601" s="69"/>
      <c r="AV601" s="69"/>
      <c r="AW601" s="69"/>
      <c r="AX601" s="69"/>
      <c r="AY601" s="69"/>
      <c r="AZ601" s="69"/>
      <c r="BA601" s="69"/>
      <c r="BB601" s="69"/>
      <c r="BC601" s="69"/>
      <c r="BD601" s="69"/>
      <c r="BE601" s="69"/>
      <c r="BF601" s="69"/>
      <c r="BG601" s="69"/>
      <c r="BH601" s="69"/>
      <c r="BI601" s="69"/>
      <c r="BJ601" s="69"/>
      <c r="BK601" s="69"/>
      <c r="BL601" s="69"/>
      <c r="BM601" s="69"/>
      <c r="BN601" s="69"/>
      <c r="BO601" s="69"/>
      <c r="BP601" s="69"/>
      <c r="BQ601" s="69"/>
      <c r="BR601" s="8"/>
    </row>
    <row r="602" ht="12.0" customHeight="1">
      <c r="A602" s="69"/>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69"/>
      <c r="AS602" s="69"/>
      <c r="AT602" s="69"/>
      <c r="AU602" s="69"/>
      <c r="AV602" s="69"/>
      <c r="AW602" s="69"/>
      <c r="AX602" s="69"/>
      <c r="AY602" s="69"/>
      <c r="AZ602" s="69"/>
      <c r="BA602" s="69"/>
      <c r="BB602" s="69"/>
      <c r="BC602" s="69"/>
      <c r="BD602" s="69"/>
      <c r="BE602" s="69"/>
      <c r="BF602" s="69"/>
      <c r="BG602" s="69"/>
      <c r="BH602" s="69"/>
      <c r="BI602" s="69"/>
      <c r="BJ602" s="69"/>
      <c r="BK602" s="69"/>
      <c r="BL602" s="69"/>
      <c r="BM602" s="69"/>
      <c r="BN602" s="69"/>
      <c r="BO602" s="69"/>
      <c r="BP602" s="69"/>
      <c r="BQ602" s="69"/>
      <c r="BR602" s="8"/>
    </row>
    <row r="603" ht="12.0" customHeight="1">
      <c r="A603" s="69"/>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69"/>
      <c r="AS603" s="69"/>
      <c r="AT603" s="69"/>
      <c r="AU603" s="69"/>
      <c r="AV603" s="69"/>
      <c r="AW603" s="69"/>
      <c r="AX603" s="69"/>
      <c r="AY603" s="69"/>
      <c r="AZ603" s="69"/>
      <c r="BA603" s="69"/>
      <c r="BB603" s="69"/>
      <c r="BC603" s="69"/>
      <c r="BD603" s="69"/>
      <c r="BE603" s="69"/>
      <c r="BF603" s="69"/>
      <c r="BG603" s="69"/>
      <c r="BH603" s="69"/>
      <c r="BI603" s="69"/>
      <c r="BJ603" s="69"/>
      <c r="BK603" s="69"/>
      <c r="BL603" s="69"/>
      <c r="BM603" s="69"/>
      <c r="BN603" s="69"/>
      <c r="BO603" s="69"/>
      <c r="BP603" s="69"/>
      <c r="BQ603" s="69"/>
      <c r="BR603" s="8"/>
    </row>
    <row r="604" ht="12.0" customHeight="1">
      <c r="A604" s="69"/>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69"/>
      <c r="AS604" s="69"/>
      <c r="AT604" s="69"/>
      <c r="AU604" s="69"/>
      <c r="AV604" s="69"/>
      <c r="AW604" s="69"/>
      <c r="AX604" s="69"/>
      <c r="AY604" s="69"/>
      <c r="AZ604" s="69"/>
      <c r="BA604" s="69"/>
      <c r="BB604" s="69"/>
      <c r="BC604" s="69"/>
      <c r="BD604" s="69"/>
      <c r="BE604" s="69"/>
      <c r="BF604" s="69"/>
      <c r="BG604" s="69"/>
      <c r="BH604" s="69"/>
      <c r="BI604" s="69"/>
      <c r="BJ604" s="69"/>
      <c r="BK604" s="69"/>
      <c r="BL604" s="69"/>
      <c r="BM604" s="69"/>
      <c r="BN604" s="69"/>
      <c r="BO604" s="69"/>
      <c r="BP604" s="69"/>
      <c r="BQ604" s="69"/>
      <c r="BR604" s="8"/>
    </row>
    <row r="605" ht="12.0" customHeight="1">
      <c r="A605" s="69"/>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69"/>
      <c r="AS605" s="69"/>
      <c r="AT605" s="69"/>
      <c r="AU605" s="69"/>
      <c r="AV605" s="69"/>
      <c r="AW605" s="69"/>
      <c r="AX605" s="69"/>
      <c r="AY605" s="69"/>
      <c r="AZ605" s="69"/>
      <c r="BA605" s="69"/>
      <c r="BB605" s="69"/>
      <c r="BC605" s="69"/>
      <c r="BD605" s="69"/>
      <c r="BE605" s="69"/>
      <c r="BF605" s="69"/>
      <c r="BG605" s="69"/>
      <c r="BH605" s="69"/>
      <c r="BI605" s="69"/>
      <c r="BJ605" s="69"/>
      <c r="BK605" s="69"/>
      <c r="BL605" s="69"/>
      <c r="BM605" s="69"/>
      <c r="BN605" s="69"/>
      <c r="BO605" s="69"/>
      <c r="BP605" s="69"/>
      <c r="BQ605" s="69"/>
      <c r="BR605" s="8"/>
    </row>
    <row r="606" ht="12.0" customHeight="1">
      <c r="A606" s="69"/>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69"/>
      <c r="AS606" s="69"/>
      <c r="AT606" s="69"/>
      <c r="AU606" s="69"/>
      <c r="AV606" s="69"/>
      <c r="AW606" s="69"/>
      <c r="AX606" s="69"/>
      <c r="AY606" s="69"/>
      <c r="AZ606" s="69"/>
      <c r="BA606" s="69"/>
      <c r="BB606" s="69"/>
      <c r="BC606" s="69"/>
      <c r="BD606" s="69"/>
      <c r="BE606" s="69"/>
      <c r="BF606" s="69"/>
      <c r="BG606" s="69"/>
      <c r="BH606" s="69"/>
      <c r="BI606" s="69"/>
      <c r="BJ606" s="69"/>
      <c r="BK606" s="69"/>
      <c r="BL606" s="69"/>
      <c r="BM606" s="69"/>
      <c r="BN606" s="69"/>
      <c r="BO606" s="69"/>
      <c r="BP606" s="69"/>
      <c r="BQ606" s="69"/>
      <c r="BR606" s="8"/>
    </row>
    <row r="607" ht="12.0" customHeight="1">
      <c r="A607" s="69"/>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69"/>
      <c r="AS607" s="69"/>
      <c r="AT607" s="69"/>
      <c r="AU607" s="69"/>
      <c r="AV607" s="69"/>
      <c r="AW607" s="69"/>
      <c r="AX607" s="69"/>
      <c r="AY607" s="69"/>
      <c r="AZ607" s="69"/>
      <c r="BA607" s="69"/>
      <c r="BB607" s="69"/>
      <c r="BC607" s="69"/>
      <c r="BD607" s="69"/>
      <c r="BE607" s="69"/>
      <c r="BF607" s="69"/>
      <c r="BG607" s="69"/>
      <c r="BH607" s="69"/>
      <c r="BI607" s="69"/>
      <c r="BJ607" s="69"/>
      <c r="BK607" s="69"/>
      <c r="BL607" s="69"/>
      <c r="BM607" s="69"/>
      <c r="BN607" s="69"/>
      <c r="BO607" s="69"/>
      <c r="BP607" s="69"/>
      <c r="BQ607" s="69"/>
      <c r="BR607" s="8"/>
    </row>
    <row r="608" ht="12.0" customHeight="1">
      <c r="A608" s="69"/>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69"/>
      <c r="AS608" s="69"/>
      <c r="AT608" s="69"/>
      <c r="AU608" s="69"/>
      <c r="AV608" s="69"/>
      <c r="AW608" s="69"/>
      <c r="AX608" s="69"/>
      <c r="AY608" s="69"/>
      <c r="AZ608" s="69"/>
      <c r="BA608" s="69"/>
      <c r="BB608" s="69"/>
      <c r="BC608" s="69"/>
      <c r="BD608" s="69"/>
      <c r="BE608" s="69"/>
      <c r="BF608" s="69"/>
      <c r="BG608" s="69"/>
      <c r="BH608" s="69"/>
      <c r="BI608" s="69"/>
      <c r="BJ608" s="69"/>
      <c r="BK608" s="69"/>
      <c r="BL608" s="69"/>
      <c r="BM608" s="69"/>
      <c r="BN608" s="69"/>
      <c r="BO608" s="69"/>
      <c r="BP608" s="69"/>
      <c r="BQ608" s="69"/>
      <c r="BR608" s="8"/>
    </row>
    <row r="609" ht="12.0" customHeight="1">
      <c r="A609" s="69"/>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69"/>
      <c r="AS609" s="69"/>
      <c r="AT609" s="69"/>
      <c r="AU609" s="69"/>
      <c r="AV609" s="69"/>
      <c r="AW609" s="69"/>
      <c r="AX609" s="69"/>
      <c r="AY609" s="69"/>
      <c r="AZ609" s="69"/>
      <c r="BA609" s="69"/>
      <c r="BB609" s="69"/>
      <c r="BC609" s="69"/>
      <c r="BD609" s="69"/>
      <c r="BE609" s="69"/>
      <c r="BF609" s="69"/>
      <c r="BG609" s="69"/>
      <c r="BH609" s="69"/>
      <c r="BI609" s="69"/>
      <c r="BJ609" s="69"/>
      <c r="BK609" s="69"/>
      <c r="BL609" s="69"/>
      <c r="BM609" s="69"/>
      <c r="BN609" s="69"/>
      <c r="BO609" s="69"/>
      <c r="BP609" s="69"/>
      <c r="BQ609" s="69"/>
      <c r="BR609" s="8"/>
    </row>
    <row r="610" ht="12.0" customHeight="1">
      <c r="A610" s="69"/>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69"/>
      <c r="AS610" s="69"/>
      <c r="AT610" s="69"/>
      <c r="AU610" s="69"/>
      <c r="AV610" s="69"/>
      <c r="AW610" s="69"/>
      <c r="AX610" s="69"/>
      <c r="AY610" s="69"/>
      <c r="AZ610" s="69"/>
      <c r="BA610" s="69"/>
      <c r="BB610" s="69"/>
      <c r="BC610" s="69"/>
      <c r="BD610" s="69"/>
      <c r="BE610" s="69"/>
      <c r="BF610" s="69"/>
      <c r="BG610" s="69"/>
      <c r="BH610" s="69"/>
      <c r="BI610" s="69"/>
      <c r="BJ610" s="69"/>
      <c r="BK610" s="69"/>
      <c r="BL610" s="69"/>
      <c r="BM610" s="69"/>
      <c r="BN610" s="69"/>
      <c r="BO610" s="69"/>
      <c r="BP610" s="69"/>
      <c r="BQ610" s="69"/>
      <c r="BR610" s="8"/>
    </row>
    <row r="611" ht="12.0" customHeight="1">
      <c r="A611" s="69"/>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69"/>
      <c r="AS611" s="69"/>
      <c r="AT611" s="69"/>
      <c r="AU611" s="69"/>
      <c r="AV611" s="69"/>
      <c r="AW611" s="69"/>
      <c r="AX611" s="69"/>
      <c r="AY611" s="69"/>
      <c r="AZ611" s="69"/>
      <c r="BA611" s="69"/>
      <c r="BB611" s="69"/>
      <c r="BC611" s="69"/>
      <c r="BD611" s="69"/>
      <c r="BE611" s="69"/>
      <c r="BF611" s="69"/>
      <c r="BG611" s="69"/>
      <c r="BH611" s="69"/>
      <c r="BI611" s="69"/>
      <c r="BJ611" s="69"/>
      <c r="BK611" s="69"/>
      <c r="BL611" s="69"/>
      <c r="BM611" s="69"/>
      <c r="BN611" s="69"/>
      <c r="BO611" s="69"/>
      <c r="BP611" s="69"/>
      <c r="BQ611" s="69"/>
      <c r="BR611" s="8"/>
    </row>
    <row r="612" ht="12.0" customHeight="1">
      <c r="A612" s="69"/>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69"/>
      <c r="AS612" s="69"/>
      <c r="AT612" s="69"/>
      <c r="AU612" s="69"/>
      <c r="AV612" s="69"/>
      <c r="AW612" s="69"/>
      <c r="AX612" s="69"/>
      <c r="AY612" s="69"/>
      <c r="AZ612" s="69"/>
      <c r="BA612" s="69"/>
      <c r="BB612" s="69"/>
      <c r="BC612" s="69"/>
      <c r="BD612" s="69"/>
      <c r="BE612" s="69"/>
      <c r="BF612" s="69"/>
      <c r="BG612" s="69"/>
      <c r="BH612" s="69"/>
      <c r="BI612" s="69"/>
      <c r="BJ612" s="69"/>
      <c r="BK612" s="69"/>
      <c r="BL612" s="69"/>
      <c r="BM612" s="69"/>
      <c r="BN612" s="69"/>
      <c r="BO612" s="69"/>
      <c r="BP612" s="69"/>
      <c r="BQ612" s="69"/>
      <c r="BR612" s="8"/>
    </row>
    <row r="613" ht="12.0" customHeight="1">
      <c r="A613" s="69"/>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69"/>
      <c r="AS613" s="69"/>
      <c r="AT613" s="69"/>
      <c r="AU613" s="69"/>
      <c r="AV613" s="69"/>
      <c r="AW613" s="69"/>
      <c r="AX613" s="69"/>
      <c r="AY613" s="69"/>
      <c r="AZ613" s="69"/>
      <c r="BA613" s="69"/>
      <c r="BB613" s="69"/>
      <c r="BC613" s="69"/>
      <c r="BD613" s="69"/>
      <c r="BE613" s="69"/>
      <c r="BF613" s="69"/>
      <c r="BG613" s="69"/>
      <c r="BH613" s="69"/>
      <c r="BI613" s="69"/>
      <c r="BJ613" s="69"/>
      <c r="BK613" s="69"/>
      <c r="BL613" s="69"/>
      <c r="BM613" s="69"/>
      <c r="BN613" s="69"/>
      <c r="BO613" s="69"/>
      <c r="BP613" s="69"/>
      <c r="BQ613" s="69"/>
      <c r="BR613" s="8"/>
    </row>
    <row r="614" ht="12.0" customHeight="1">
      <c r="A614" s="69"/>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69"/>
      <c r="AS614" s="69"/>
      <c r="AT614" s="69"/>
      <c r="AU614" s="69"/>
      <c r="AV614" s="69"/>
      <c r="AW614" s="69"/>
      <c r="AX614" s="69"/>
      <c r="AY614" s="69"/>
      <c r="AZ614" s="69"/>
      <c r="BA614" s="69"/>
      <c r="BB614" s="69"/>
      <c r="BC614" s="69"/>
      <c r="BD614" s="69"/>
      <c r="BE614" s="69"/>
      <c r="BF614" s="69"/>
      <c r="BG614" s="69"/>
      <c r="BH614" s="69"/>
      <c r="BI614" s="69"/>
      <c r="BJ614" s="69"/>
      <c r="BK614" s="69"/>
      <c r="BL614" s="69"/>
      <c r="BM614" s="69"/>
      <c r="BN614" s="69"/>
      <c r="BO614" s="69"/>
      <c r="BP614" s="69"/>
      <c r="BQ614" s="69"/>
      <c r="BR614" s="8"/>
    </row>
    <row r="615" ht="12.0" customHeight="1">
      <c r="A615" s="69"/>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69"/>
      <c r="AS615" s="69"/>
      <c r="AT615" s="69"/>
      <c r="AU615" s="69"/>
      <c r="AV615" s="69"/>
      <c r="AW615" s="69"/>
      <c r="AX615" s="69"/>
      <c r="AY615" s="69"/>
      <c r="AZ615" s="69"/>
      <c r="BA615" s="69"/>
      <c r="BB615" s="69"/>
      <c r="BC615" s="69"/>
      <c r="BD615" s="69"/>
      <c r="BE615" s="69"/>
      <c r="BF615" s="69"/>
      <c r="BG615" s="69"/>
      <c r="BH615" s="69"/>
      <c r="BI615" s="69"/>
      <c r="BJ615" s="69"/>
      <c r="BK615" s="69"/>
      <c r="BL615" s="69"/>
      <c r="BM615" s="69"/>
      <c r="BN615" s="69"/>
      <c r="BO615" s="69"/>
      <c r="BP615" s="69"/>
      <c r="BQ615" s="69"/>
      <c r="BR615" s="8"/>
    </row>
    <row r="616" ht="12.0" customHeight="1">
      <c r="A616" s="69"/>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69"/>
      <c r="AS616" s="69"/>
      <c r="AT616" s="69"/>
      <c r="AU616" s="69"/>
      <c r="AV616" s="69"/>
      <c r="AW616" s="69"/>
      <c r="AX616" s="69"/>
      <c r="AY616" s="69"/>
      <c r="AZ616" s="69"/>
      <c r="BA616" s="69"/>
      <c r="BB616" s="69"/>
      <c r="BC616" s="69"/>
      <c r="BD616" s="69"/>
      <c r="BE616" s="69"/>
      <c r="BF616" s="69"/>
      <c r="BG616" s="69"/>
      <c r="BH616" s="69"/>
      <c r="BI616" s="69"/>
      <c r="BJ616" s="69"/>
      <c r="BK616" s="69"/>
      <c r="BL616" s="69"/>
      <c r="BM616" s="69"/>
      <c r="BN616" s="69"/>
      <c r="BO616" s="69"/>
      <c r="BP616" s="69"/>
      <c r="BQ616" s="69"/>
      <c r="BR616" s="8"/>
    </row>
    <row r="617" ht="12.0" customHeight="1">
      <c r="A617" s="69"/>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69"/>
      <c r="AS617" s="69"/>
      <c r="AT617" s="69"/>
      <c r="AU617" s="69"/>
      <c r="AV617" s="69"/>
      <c r="AW617" s="69"/>
      <c r="AX617" s="69"/>
      <c r="AY617" s="69"/>
      <c r="AZ617" s="69"/>
      <c r="BA617" s="69"/>
      <c r="BB617" s="69"/>
      <c r="BC617" s="69"/>
      <c r="BD617" s="69"/>
      <c r="BE617" s="69"/>
      <c r="BF617" s="69"/>
      <c r="BG617" s="69"/>
      <c r="BH617" s="69"/>
      <c r="BI617" s="69"/>
      <c r="BJ617" s="69"/>
      <c r="BK617" s="69"/>
      <c r="BL617" s="69"/>
      <c r="BM617" s="69"/>
      <c r="BN617" s="69"/>
      <c r="BO617" s="69"/>
      <c r="BP617" s="69"/>
      <c r="BQ617" s="69"/>
      <c r="BR617" s="8"/>
    </row>
    <row r="618" ht="12.0" customHeight="1">
      <c r="A618" s="69"/>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69"/>
      <c r="AS618" s="69"/>
      <c r="AT618" s="69"/>
      <c r="AU618" s="69"/>
      <c r="AV618" s="69"/>
      <c r="AW618" s="69"/>
      <c r="AX618" s="69"/>
      <c r="AY618" s="69"/>
      <c r="AZ618" s="69"/>
      <c r="BA618" s="69"/>
      <c r="BB618" s="69"/>
      <c r="BC618" s="69"/>
      <c r="BD618" s="69"/>
      <c r="BE618" s="69"/>
      <c r="BF618" s="69"/>
      <c r="BG618" s="69"/>
      <c r="BH618" s="69"/>
      <c r="BI618" s="69"/>
      <c r="BJ618" s="69"/>
      <c r="BK618" s="69"/>
      <c r="BL618" s="69"/>
      <c r="BM618" s="69"/>
      <c r="BN618" s="69"/>
      <c r="BO618" s="69"/>
      <c r="BP618" s="69"/>
      <c r="BQ618" s="69"/>
      <c r="BR618" s="8"/>
    </row>
    <row r="619" ht="12.0" customHeight="1">
      <c r="A619" s="69"/>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69"/>
      <c r="AS619" s="69"/>
      <c r="AT619" s="69"/>
      <c r="AU619" s="69"/>
      <c r="AV619" s="69"/>
      <c r="AW619" s="69"/>
      <c r="AX619" s="69"/>
      <c r="AY619" s="69"/>
      <c r="AZ619" s="69"/>
      <c r="BA619" s="69"/>
      <c r="BB619" s="69"/>
      <c r="BC619" s="69"/>
      <c r="BD619" s="69"/>
      <c r="BE619" s="69"/>
      <c r="BF619" s="69"/>
      <c r="BG619" s="69"/>
      <c r="BH619" s="69"/>
      <c r="BI619" s="69"/>
      <c r="BJ619" s="69"/>
      <c r="BK619" s="69"/>
      <c r="BL619" s="69"/>
      <c r="BM619" s="69"/>
      <c r="BN619" s="69"/>
      <c r="BO619" s="69"/>
      <c r="BP619" s="69"/>
      <c r="BQ619" s="69"/>
      <c r="BR619" s="8"/>
    </row>
    <row r="620" ht="12.0" customHeight="1">
      <c r="A620" s="69"/>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69"/>
      <c r="AS620" s="69"/>
      <c r="AT620" s="69"/>
      <c r="AU620" s="69"/>
      <c r="AV620" s="69"/>
      <c r="AW620" s="69"/>
      <c r="AX620" s="69"/>
      <c r="AY620" s="69"/>
      <c r="AZ620" s="69"/>
      <c r="BA620" s="69"/>
      <c r="BB620" s="69"/>
      <c r="BC620" s="69"/>
      <c r="BD620" s="69"/>
      <c r="BE620" s="69"/>
      <c r="BF620" s="69"/>
      <c r="BG620" s="69"/>
      <c r="BH620" s="69"/>
      <c r="BI620" s="69"/>
      <c r="BJ620" s="69"/>
      <c r="BK620" s="69"/>
      <c r="BL620" s="69"/>
      <c r="BM620" s="69"/>
      <c r="BN620" s="69"/>
      <c r="BO620" s="69"/>
      <c r="BP620" s="69"/>
      <c r="BQ620" s="69"/>
      <c r="BR620" s="8"/>
    </row>
    <row r="621" ht="12.0" customHeight="1">
      <c r="A621" s="69"/>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69"/>
      <c r="AS621" s="69"/>
      <c r="AT621" s="69"/>
      <c r="AU621" s="69"/>
      <c r="AV621" s="69"/>
      <c r="AW621" s="69"/>
      <c r="AX621" s="69"/>
      <c r="AY621" s="69"/>
      <c r="AZ621" s="69"/>
      <c r="BA621" s="69"/>
      <c r="BB621" s="69"/>
      <c r="BC621" s="69"/>
      <c r="BD621" s="69"/>
      <c r="BE621" s="69"/>
      <c r="BF621" s="69"/>
      <c r="BG621" s="69"/>
      <c r="BH621" s="69"/>
      <c r="BI621" s="69"/>
      <c r="BJ621" s="69"/>
      <c r="BK621" s="69"/>
      <c r="BL621" s="69"/>
      <c r="BM621" s="69"/>
      <c r="BN621" s="69"/>
      <c r="BO621" s="69"/>
      <c r="BP621" s="69"/>
      <c r="BQ621" s="69"/>
      <c r="BR621" s="8"/>
    </row>
    <row r="622" ht="12.0" customHeight="1">
      <c r="A622" s="69"/>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69"/>
      <c r="AS622" s="69"/>
      <c r="AT622" s="69"/>
      <c r="AU622" s="69"/>
      <c r="AV622" s="69"/>
      <c r="AW622" s="69"/>
      <c r="AX622" s="69"/>
      <c r="AY622" s="69"/>
      <c r="AZ622" s="69"/>
      <c r="BA622" s="69"/>
      <c r="BB622" s="69"/>
      <c r="BC622" s="69"/>
      <c r="BD622" s="69"/>
      <c r="BE622" s="69"/>
      <c r="BF622" s="69"/>
      <c r="BG622" s="69"/>
      <c r="BH622" s="69"/>
      <c r="BI622" s="69"/>
      <c r="BJ622" s="69"/>
      <c r="BK622" s="69"/>
      <c r="BL622" s="69"/>
      <c r="BM622" s="69"/>
      <c r="BN622" s="69"/>
      <c r="BO622" s="69"/>
      <c r="BP622" s="69"/>
      <c r="BQ622" s="69"/>
      <c r="BR622" s="8"/>
    </row>
    <row r="623" ht="12.0" customHeight="1">
      <c r="A623" s="69"/>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69"/>
      <c r="AS623" s="69"/>
      <c r="AT623" s="69"/>
      <c r="AU623" s="69"/>
      <c r="AV623" s="69"/>
      <c r="AW623" s="69"/>
      <c r="AX623" s="69"/>
      <c r="AY623" s="69"/>
      <c r="AZ623" s="69"/>
      <c r="BA623" s="69"/>
      <c r="BB623" s="69"/>
      <c r="BC623" s="69"/>
      <c r="BD623" s="69"/>
      <c r="BE623" s="69"/>
      <c r="BF623" s="69"/>
      <c r="BG623" s="69"/>
      <c r="BH623" s="69"/>
      <c r="BI623" s="69"/>
      <c r="BJ623" s="69"/>
      <c r="BK623" s="69"/>
      <c r="BL623" s="69"/>
      <c r="BM623" s="69"/>
      <c r="BN623" s="69"/>
      <c r="BO623" s="69"/>
      <c r="BP623" s="69"/>
      <c r="BQ623" s="69"/>
      <c r="BR623" s="8"/>
    </row>
    <row r="624" ht="12.0" customHeight="1">
      <c r="A624" s="69"/>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69"/>
      <c r="AS624" s="69"/>
      <c r="AT624" s="69"/>
      <c r="AU624" s="69"/>
      <c r="AV624" s="69"/>
      <c r="AW624" s="69"/>
      <c r="AX624" s="69"/>
      <c r="AY624" s="69"/>
      <c r="AZ624" s="69"/>
      <c r="BA624" s="69"/>
      <c r="BB624" s="69"/>
      <c r="BC624" s="69"/>
      <c r="BD624" s="69"/>
      <c r="BE624" s="69"/>
      <c r="BF624" s="69"/>
      <c r="BG624" s="69"/>
      <c r="BH624" s="69"/>
      <c r="BI624" s="69"/>
      <c r="BJ624" s="69"/>
      <c r="BK624" s="69"/>
      <c r="BL624" s="69"/>
      <c r="BM624" s="69"/>
      <c r="BN624" s="69"/>
      <c r="BO624" s="69"/>
      <c r="BP624" s="69"/>
      <c r="BQ624" s="69"/>
      <c r="BR624" s="8"/>
    </row>
    <row r="625" ht="12.0" customHeight="1">
      <c r="A625" s="69"/>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69"/>
      <c r="AS625" s="69"/>
      <c r="AT625" s="69"/>
      <c r="AU625" s="69"/>
      <c r="AV625" s="69"/>
      <c r="AW625" s="69"/>
      <c r="AX625" s="69"/>
      <c r="AY625" s="69"/>
      <c r="AZ625" s="69"/>
      <c r="BA625" s="69"/>
      <c r="BB625" s="69"/>
      <c r="BC625" s="69"/>
      <c r="BD625" s="69"/>
      <c r="BE625" s="69"/>
      <c r="BF625" s="69"/>
      <c r="BG625" s="69"/>
      <c r="BH625" s="69"/>
      <c r="BI625" s="69"/>
      <c r="BJ625" s="69"/>
      <c r="BK625" s="69"/>
      <c r="BL625" s="69"/>
      <c r="BM625" s="69"/>
      <c r="BN625" s="69"/>
      <c r="BO625" s="69"/>
      <c r="BP625" s="69"/>
      <c r="BQ625" s="69"/>
      <c r="BR625" s="8"/>
    </row>
    <row r="626" ht="12.0" customHeight="1">
      <c r="A626" s="69"/>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69"/>
      <c r="AS626" s="69"/>
      <c r="AT626" s="69"/>
      <c r="AU626" s="69"/>
      <c r="AV626" s="69"/>
      <c r="AW626" s="69"/>
      <c r="AX626" s="69"/>
      <c r="AY626" s="69"/>
      <c r="AZ626" s="69"/>
      <c r="BA626" s="69"/>
      <c r="BB626" s="69"/>
      <c r="BC626" s="69"/>
      <c r="BD626" s="69"/>
      <c r="BE626" s="69"/>
      <c r="BF626" s="69"/>
      <c r="BG626" s="69"/>
      <c r="BH626" s="69"/>
      <c r="BI626" s="69"/>
      <c r="BJ626" s="69"/>
      <c r="BK626" s="69"/>
      <c r="BL626" s="69"/>
      <c r="BM626" s="69"/>
      <c r="BN626" s="69"/>
      <c r="BO626" s="69"/>
      <c r="BP626" s="69"/>
      <c r="BQ626" s="69"/>
      <c r="BR626" s="8"/>
    </row>
    <row r="627" ht="12.0" customHeight="1">
      <c r="A627" s="69"/>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69"/>
      <c r="AS627" s="69"/>
      <c r="AT627" s="69"/>
      <c r="AU627" s="69"/>
      <c r="AV627" s="69"/>
      <c r="AW627" s="69"/>
      <c r="AX627" s="69"/>
      <c r="AY627" s="69"/>
      <c r="AZ627" s="69"/>
      <c r="BA627" s="69"/>
      <c r="BB627" s="69"/>
      <c r="BC627" s="69"/>
      <c r="BD627" s="69"/>
      <c r="BE627" s="69"/>
      <c r="BF627" s="69"/>
      <c r="BG627" s="69"/>
      <c r="BH627" s="69"/>
      <c r="BI627" s="69"/>
      <c r="BJ627" s="69"/>
      <c r="BK627" s="69"/>
      <c r="BL627" s="69"/>
      <c r="BM627" s="69"/>
      <c r="BN627" s="69"/>
      <c r="BO627" s="69"/>
      <c r="BP627" s="69"/>
      <c r="BQ627" s="69"/>
      <c r="BR627" s="8"/>
    </row>
    <row r="628" ht="12.0" customHeight="1">
      <c r="A628" s="69"/>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69"/>
      <c r="AS628" s="69"/>
      <c r="AT628" s="69"/>
      <c r="AU628" s="69"/>
      <c r="AV628" s="69"/>
      <c r="AW628" s="69"/>
      <c r="AX628" s="69"/>
      <c r="AY628" s="69"/>
      <c r="AZ628" s="69"/>
      <c r="BA628" s="69"/>
      <c r="BB628" s="69"/>
      <c r="BC628" s="69"/>
      <c r="BD628" s="69"/>
      <c r="BE628" s="69"/>
      <c r="BF628" s="69"/>
      <c r="BG628" s="69"/>
      <c r="BH628" s="69"/>
      <c r="BI628" s="69"/>
      <c r="BJ628" s="69"/>
      <c r="BK628" s="69"/>
      <c r="BL628" s="69"/>
      <c r="BM628" s="69"/>
      <c r="BN628" s="69"/>
      <c r="BO628" s="69"/>
      <c r="BP628" s="69"/>
      <c r="BQ628" s="69"/>
      <c r="BR628" s="8"/>
    </row>
    <row r="629" ht="12.0" customHeight="1">
      <c r="A629" s="69"/>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69"/>
      <c r="AS629" s="69"/>
      <c r="AT629" s="69"/>
      <c r="AU629" s="69"/>
      <c r="AV629" s="69"/>
      <c r="AW629" s="69"/>
      <c r="AX629" s="69"/>
      <c r="AY629" s="69"/>
      <c r="AZ629" s="69"/>
      <c r="BA629" s="69"/>
      <c r="BB629" s="69"/>
      <c r="BC629" s="69"/>
      <c r="BD629" s="69"/>
      <c r="BE629" s="69"/>
      <c r="BF629" s="69"/>
      <c r="BG629" s="69"/>
      <c r="BH629" s="69"/>
      <c r="BI629" s="69"/>
      <c r="BJ629" s="69"/>
      <c r="BK629" s="69"/>
      <c r="BL629" s="69"/>
      <c r="BM629" s="69"/>
      <c r="BN629" s="69"/>
      <c r="BO629" s="69"/>
      <c r="BP629" s="69"/>
      <c r="BQ629" s="69"/>
      <c r="BR629" s="8"/>
    </row>
    <row r="630" ht="12.0" customHeight="1">
      <c r="A630" s="69"/>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69"/>
      <c r="AS630" s="69"/>
      <c r="AT630" s="69"/>
      <c r="AU630" s="69"/>
      <c r="AV630" s="69"/>
      <c r="AW630" s="69"/>
      <c r="AX630" s="69"/>
      <c r="AY630" s="69"/>
      <c r="AZ630" s="69"/>
      <c r="BA630" s="69"/>
      <c r="BB630" s="69"/>
      <c r="BC630" s="69"/>
      <c r="BD630" s="69"/>
      <c r="BE630" s="69"/>
      <c r="BF630" s="69"/>
      <c r="BG630" s="69"/>
      <c r="BH630" s="69"/>
      <c r="BI630" s="69"/>
      <c r="BJ630" s="69"/>
      <c r="BK630" s="69"/>
      <c r="BL630" s="69"/>
      <c r="BM630" s="69"/>
      <c r="BN630" s="69"/>
      <c r="BO630" s="69"/>
      <c r="BP630" s="69"/>
      <c r="BQ630" s="69"/>
      <c r="BR630" s="8"/>
    </row>
    <row r="631" ht="12.0" customHeight="1">
      <c r="A631" s="69"/>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69"/>
      <c r="AS631" s="69"/>
      <c r="AT631" s="69"/>
      <c r="AU631" s="69"/>
      <c r="AV631" s="69"/>
      <c r="AW631" s="69"/>
      <c r="AX631" s="69"/>
      <c r="AY631" s="69"/>
      <c r="AZ631" s="69"/>
      <c r="BA631" s="69"/>
      <c r="BB631" s="69"/>
      <c r="BC631" s="69"/>
      <c r="BD631" s="69"/>
      <c r="BE631" s="69"/>
      <c r="BF631" s="69"/>
      <c r="BG631" s="69"/>
      <c r="BH631" s="69"/>
      <c r="BI631" s="69"/>
      <c r="BJ631" s="69"/>
      <c r="BK631" s="69"/>
      <c r="BL631" s="69"/>
      <c r="BM631" s="69"/>
      <c r="BN631" s="69"/>
      <c r="BO631" s="69"/>
      <c r="BP631" s="69"/>
      <c r="BQ631" s="69"/>
      <c r="BR631" s="8"/>
    </row>
    <row r="632" ht="12.0" customHeight="1">
      <c r="A632" s="69"/>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69"/>
      <c r="AS632" s="69"/>
      <c r="AT632" s="69"/>
      <c r="AU632" s="69"/>
      <c r="AV632" s="69"/>
      <c r="AW632" s="69"/>
      <c r="AX632" s="69"/>
      <c r="AY632" s="69"/>
      <c r="AZ632" s="69"/>
      <c r="BA632" s="69"/>
      <c r="BB632" s="69"/>
      <c r="BC632" s="69"/>
      <c r="BD632" s="69"/>
      <c r="BE632" s="69"/>
      <c r="BF632" s="69"/>
      <c r="BG632" s="69"/>
      <c r="BH632" s="69"/>
      <c r="BI632" s="69"/>
      <c r="BJ632" s="69"/>
      <c r="BK632" s="69"/>
      <c r="BL632" s="69"/>
      <c r="BM632" s="69"/>
      <c r="BN632" s="69"/>
      <c r="BO632" s="69"/>
      <c r="BP632" s="69"/>
      <c r="BQ632" s="69"/>
      <c r="BR632" s="8"/>
    </row>
    <row r="633" ht="12.0" customHeight="1">
      <c r="A633" s="69"/>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69"/>
      <c r="AS633" s="69"/>
      <c r="AT633" s="69"/>
      <c r="AU633" s="69"/>
      <c r="AV633" s="69"/>
      <c r="AW633" s="69"/>
      <c r="AX633" s="69"/>
      <c r="AY633" s="69"/>
      <c r="AZ633" s="69"/>
      <c r="BA633" s="69"/>
      <c r="BB633" s="69"/>
      <c r="BC633" s="69"/>
      <c r="BD633" s="69"/>
      <c r="BE633" s="69"/>
      <c r="BF633" s="69"/>
      <c r="BG633" s="69"/>
      <c r="BH633" s="69"/>
      <c r="BI633" s="69"/>
      <c r="BJ633" s="69"/>
      <c r="BK633" s="69"/>
      <c r="BL633" s="69"/>
      <c r="BM633" s="69"/>
      <c r="BN633" s="69"/>
      <c r="BO633" s="69"/>
      <c r="BP633" s="69"/>
      <c r="BQ633" s="69"/>
      <c r="BR633" s="8"/>
    </row>
    <row r="634" ht="12.0" customHeight="1">
      <c r="A634" s="69"/>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69"/>
      <c r="AS634" s="69"/>
      <c r="AT634" s="69"/>
      <c r="AU634" s="69"/>
      <c r="AV634" s="69"/>
      <c r="AW634" s="69"/>
      <c r="AX634" s="69"/>
      <c r="AY634" s="69"/>
      <c r="AZ634" s="69"/>
      <c r="BA634" s="69"/>
      <c r="BB634" s="69"/>
      <c r="BC634" s="69"/>
      <c r="BD634" s="69"/>
      <c r="BE634" s="69"/>
      <c r="BF634" s="69"/>
      <c r="BG634" s="69"/>
      <c r="BH634" s="69"/>
      <c r="BI634" s="69"/>
      <c r="BJ634" s="69"/>
      <c r="BK634" s="69"/>
      <c r="BL634" s="69"/>
      <c r="BM634" s="69"/>
      <c r="BN634" s="69"/>
      <c r="BO634" s="69"/>
      <c r="BP634" s="69"/>
      <c r="BQ634" s="69"/>
      <c r="BR634" s="8"/>
    </row>
    <row r="635" ht="12.0" customHeight="1">
      <c r="A635" s="69"/>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69"/>
      <c r="AS635" s="69"/>
      <c r="AT635" s="69"/>
      <c r="AU635" s="69"/>
      <c r="AV635" s="69"/>
      <c r="AW635" s="69"/>
      <c r="AX635" s="69"/>
      <c r="AY635" s="69"/>
      <c r="AZ635" s="69"/>
      <c r="BA635" s="69"/>
      <c r="BB635" s="69"/>
      <c r="BC635" s="69"/>
      <c r="BD635" s="69"/>
      <c r="BE635" s="69"/>
      <c r="BF635" s="69"/>
      <c r="BG635" s="69"/>
      <c r="BH635" s="69"/>
      <c r="BI635" s="69"/>
      <c r="BJ635" s="69"/>
      <c r="BK635" s="69"/>
      <c r="BL635" s="69"/>
      <c r="BM635" s="69"/>
      <c r="BN635" s="69"/>
      <c r="BO635" s="69"/>
      <c r="BP635" s="69"/>
      <c r="BQ635" s="69"/>
      <c r="BR635" s="8"/>
    </row>
    <row r="636" ht="12.0" customHeight="1">
      <c r="A636" s="69"/>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69"/>
      <c r="AS636" s="69"/>
      <c r="AT636" s="69"/>
      <c r="AU636" s="69"/>
      <c r="AV636" s="69"/>
      <c r="AW636" s="69"/>
      <c r="AX636" s="69"/>
      <c r="AY636" s="69"/>
      <c r="AZ636" s="69"/>
      <c r="BA636" s="69"/>
      <c r="BB636" s="69"/>
      <c r="BC636" s="69"/>
      <c r="BD636" s="69"/>
      <c r="BE636" s="69"/>
      <c r="BF636" s="69"/>
      <c r="BG636" s="69"/>
      <c r="BH636" s="69"/>
      <c r="BI636" s="69"/>
      <c r="BJ636" s="69"/>
      <c r="BK636" s="69"/>
      <c r="BL636" s="69"/>
      <c r="BM636" s="69"/>
      <c r="BN636" s="69"/>
      <c r="BO636" s="69"/>
      <c r="BP636" s="69"/>
      <c r="BQ636" s="69"/>
      <c r="BR636" s="8"/>
    </row>
    <row r="637" ht="12.0" customHeight="1">
      <c r="A637" s="69"/>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69"/>
      <c r="AS637" s="69"/>
      <c r="AT637" s="69"/>
      <c r="AU637" s="69"/>
      <c r="AV637" s="69"/>
      <c r="AW637" s="69"/>
      <c r="AX637" s="69"/>
      <c r="AY637" s="69"/>
      <c r="AZ637" s="69"/>
      <c r="BA637" s="69"/>
      <c r="BB637" s="69"/>
      <c r="BC637" s="69"/>
      <c r="BD637" s="69"/>
      <c r="BE637" s="69"/>
      <c r="BF637" s="69"/>
      <c r="BG637" s="69"/>
      <c r="BH637" s="69"/>
      <c r="BI637" s="69"/>
      <c r="BJ637" s="69"/>
      <c r="BK637" s="69"/>
      <c r="BL637" s="69"/>
      <c r="BM637" s="69"/>
      <c r="BN637" s="69"/>
      <c r="BO637" s="69"/>
      <c r="BP637" s="69"/>
      <c r="BQ637" s="69"/>
      <c r="BR637" s="8"/>
    </row>
    <row r="638" ht="12.0" customHeight="1">
      <c r="A638" s="69"/>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69"/>
      <c r="AS638" s="69"/>
      <c r="AT638" s="69"/>
      <c r="AU638" s="69"/>
      <c r="AV638" s="69"/>
      <c r="AW638" s="69"/>
      <c r="AX638" s="69"/>
      <c r="AY638" s="69"/>
      <c r="AZ638" s="69"/>
      <c r="BA638" s="69"/>
      <c r="BB638" s="69"/>
      <c r="BC638" s="69"/>
      <c r="BD638" s="69"/>
      <c r="BE638" s="69"/>
      <c r="BF638" s="69"/>
      <c r="BG638" s="69"/>
      <c r="BH638" s="69"/>
      <c r="BI638" s="69"/>
      <c r="BJ638" s="69"/>
      <c r="BK638" s="69"/>
      <c r="BL638" s="69"/>
      <c r="BM638" s="69"/>
      <c r="BN638" s="69"/>
      <c r="BO638" s="69"/>
      <c r="BP638" s="69"/>
      <c r="BQ638" s="69"/>
      <c r="BR638" s="8"/>
    </row>
    <row r="639" ht="12.0" customHeight="1">
      <c r="A639" s="69"/>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69"/>
      <c r="AS639" s="69"/>
      <c r="AT639" s="69"/>
      <c r="AU639" s="69"/>
      <c r="AV639" s="69"/>
      <c r="AW639" s="69"/>
      <c r="AX639" s="69"/>
      <c r="AY639" s="69"/>
      <c r="AZ639" s="69"/>
      <c r="BA639" s="69"/>
      <c r="BB639" s="69"/>
      <c r="BC639" s="69"/>
      <c r="BD639" s="69"/>
      <c r="BE639" s="69"/>
      <c r="BF639" s="69"/>
      <c r="BG639" s="69"/>
      <c r="BH639" s="69"/>
      <c r="BI639" s="69"/>
      <c r="BJ639" s="69"/>
      <c r="BK639" s="69"/>
      <c r="BL639" s="69"/>
      <c r="BM639" s="69"/>
      <c r="BN639" s="69"/>
      <c r="BO639" s="69"/>
      <c r="BP639" s="69"/>
      <c r="BQ639" s="69"/>
      <c r="BR639" s="8"/>
    </row>
    <row r="640" ht="12.0" customHeight="1">
      <c r="A640" s="69"/>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69"/>
      <c r="AS640" s="69"/>
      <c r="AT640" s="69"/>
      <c r="AU640" s="69"/>
      <c r="AV640" s="69"/>
      <c r="AW640" s="69"/>
      <c r="AX640" s="69"/>
      <c r="AY640" s="69"/>
      <c r="AZ640" s="69"/>
      <c r="BA640" s="69"/>
      <c r="BB640" s="69"/>
      <c r="BC640" s="69"/>
      <c r="BD640" s="69"/>
      <c r="BE640" s="69"/>
      <c r="BF640" s="69"/>
      <c r="BG640" s="69"/>
      <c r="BH640" s="69"/>
      <c r="BI640" s="69"/>
      <c r="BJ640" s="69"/>
      <c r="BK640" s="69"/>
      <c r="BL640" s="69"/>
      <c r="BM640" s="69"/>
      <c r="BN640" s="69"/>
      <c r="BO640" s="69"/>
      <c r="BP640" s="69"/>
      <c r="BQ640" s="69"/>
      <c r="BR640" s="8"/>
    </row>
    <row r="641" ht="12.0" customHeight="1">
      <c r="A641" s="69"/>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69"/>
      <c r="AS641" s="69"/>
      <c r="AT641" s="69"/>
      <c r="AU641" s="69"/>
      <c r="AV641" s="69"/>
      <c r="AW641" s="69"/>
      <c r="AX641" s="69"/>
      <c r="AY641" s="69"/>
      <c r="AZ641" s="69"/>
      <c r="BA641" s="69"/>
      <c r="BB641" s="69"/>
      <c r="BC641" s="69"/>
      <c r="BD641" s="69"/>
      <c r="BE641" s="69"/>
      <c r="BF641" s="69"/>
      <c r="BG641" s="69"/>
      <c r="BH641" s="69"/>
      <c r="BI641" s="69"/>
      <c r="BJ641" s="69"/>
      <c r="BK641" s="69"/>
      <c r="BL641" s="69"/>
      <c r="BM641" s="69"/>
      <c r="BN641" s="69"/>
      <c r="BO641" s="69"/>
      <c r="BP641" s="69"/>
      <c r="BQ641" s="69"/>
      <c r="BR641" s="8"/>
    </row>
    <row r="642" ht="12.0" customHeight="1">
      <c r="A642" s="69"/>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69"/>
      <c r="AS642" s="69"/>
      <c r="AT642" s="69"/>
      <c r="AU642" s="69"/>
      <c r="AV642" s="69"/>
      <c r="AW642" s="69"/>
      <c r="AX642" s="69"/>
      <c r="AY642" s="69"/>
      <c r="AZ642" s="69"/>
      <c r="BA642" s="69"/>
      <c r="BB642" s="69"/>
      <c r="BC642" s="69"/>
      <c r="BD642" s="69"/>
      <c r="BE642" s="69"/>
      <c r="BF642" s="69"/>
      <c r="BG642" s="69"/>
      <c r="BH642" s="69"/>
      <c r="BI642" s="69"/>
      <c r="BJ642" s="69"/>
      <c r="BK642" s="69"/>
      <c r="BL642" s="69"/>
      <c r="BM642" s="69"/>
      <c r="BN642" s="69"/>
      <c r="BO642" s="69"/>
      <c r="BP642" s="69"/>
      <c r="BQ642" s="69"/>
      <c r="BR642" s="8"/>
    </row>
    <row r="643" ht="12.0" customHeight="1">
      <c r="A643" s="69"/>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69"/>
      <c r="AS643" s="69"/>
      <c r="AT643" s="69"/>
      <c r="AU643" s="69"/>
      <c r="AV643" s="69"/>
      <c r="AW643" s="69"/>
      <c r="AX643" s="69"/>
      <c r="AY643" s="69"/>
      <c r="AZ643" s="69"/>
      <c r="BA643" s="69"/>
      <c r="BB643" s="69"/>
      <c r="BC643" s="69"/>
      <c r="BD643" s="69"/>
      <c r="BE643" s="69"/>
      <c r="BF643" s="69"/>
      <c r="BG643" s="69"/>
      <c r="BH643" s="69"/>
      <c r="BI643" s="69"/>
      <c r="BJ643" s="69"/>
      <c r="BK643" s="69"/>
      <c r="BL643" s="69"/>
      <c r="BM643" s="69"/>
      <c r="BN643" s="69"/>
      <c r="BO643" s="69"/>
      <c r="BP643" s="69"/>
      <c r="BQ643" s="69"/>
      <c r="BR643" s="8"/>
    </row>
    <row r="644" ht="12.0" customHeight="1">
      <c r="A644" s="69"/>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69"/>
      <c r="AS644" s="69"/>
      <c r="AT644" s="69"/>
      <c r="AU644" s="69"/>
      <c r="AV644" s="69"/>
      <c r="AW644" s="69"/>
      <c r="AX644" s="69"/>
      <c r="AY644" s="69"/>
      <c r="AZ644" s="69"/>
      <c r="BA644" s="69"/>
      <c r="BB644" s="69"/>
      <c r="BC644" s="69"/>
      <c r="BD644" s="69"/>
      <c r="BE644" s="69"/>
      <c r="BF644" s="69"/>
      <c r="BG644" s="69"/>
      <c r="BH644" s="69"/>
      <c r="BI644" s="69"/>
      <c r="BJ644" s="69"/>
      <c r="BK644" s="69"/>
      <c r="BL644" s="69"/>
      <c r="BM644" s="69"/>
      <c r="BN644" s="69"/>
      <c r="BO644" s="69"/>
      <c r="BP644" s="69"/>
      <c r="BQ644" s="69"/>
      <c r="BR644" s="8"/>
    </row>
    <row r="645" ht="12.0" customHeight="1">
      <c r="A645" s="69"/>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69"/>
      <c r="AS645" s="69"/>
      <c r="AT645" s="69"/>
      <c r="AU645" s="69"/>
      <c r="AV645" s="69"/>
      <c r="AW645" s="69"/>
      <c r="AX645" s="69"/>
      <c r="AY645" s="69"/>
      <c r="AZ645" s="69"/>
      <c r="BA645" s="69"/>
      <c r="BB645" s="69"/>
      <c r="BC645" s="69"/>
      <c r="BD645" s="69"/>
      <c r="BE645" s="69"/>
      <c r="BF645" s="69"/>
      <c r="BG645" s="69"/>
      <c r="BH645" s="69"/>
      <c r="BI645" s="69"/>
      <c r="BJ645" s="69"/>
      <c r="BK645" s="69"/>
      <c r="BL645" s="69"/>
      <c r="BM645" s="69"/>
      <c r="BN645" s="69"/>
      <c r="BO645" s="69"/>
      <c r="BP645" s="69"/>
      <c r="BQ645" s="69"/>
      <c r="BR645" s="8"/>
    </row>
    <row r="646" ht="12.0" customHeight="1">
      <c r="A646" s="69"/>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69"/>
      <c r="AS646" s="69"/>
      <c r="AT646" s="69"/>
      <c r="AU646" s="69"/>
      <c r="AV646" s="69"/>
      <c r="AW646" s="69"/>
      <c r="AX646" s="69"/>
      <c r="AY646" s="69"/>
      <c r="AZ646" s="69"/>
      <c r="BA646" s="69"/>
      <c r="BB646" s="69"/>
      <c r="BC646" s="69"/>
      <c r="BD646" s="69"/>
      <c r="BE646" s="69"/>
      <c r="BF646" s="69"/>
      <c r="BG646" s="69"/>
      <c r="BH646" s="69"/>
      <c r="BI646" s="69"/>
      <c r="BJ646" s="69"/>
      <c r="BK646" s="69"/>
      <c r="BL646" s="69"/>
      <c r="BM646" s="69"/>
      <c r="BN646" s="69"/>
      <c r="BO646" s="69"/>
      <c r="BP646" s="69"/>
      <c r="BQ646" s="69"/>
      <c r="BR646" s="8"/>
    </row>
    <row r="647" ht="12.0" customHeight="1">
      <c r="A647" s="69"/>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69"/>
      <c r="AS647" s="69"/>
      <c r="AT647" s="69"/>
      <c r="AU647" s="69"/>
      <c r="AV647" s="69"/>
      <c r="AW647" s="69"/>
      <c r="AX647" s="69"/>
      <c r="AY647" s="69"/>
      <c r="AZ647" s="69"/>
      <c r="BA647" s="69"/>
      <c r="BB647" s="69"/>
      <c r="BC647" s="69"/>
      <c r="BD647" s="69"/>
      <c r="BE647" s="69"/>
      <c r="BF647" s="69"/>
      <c r="BG647" s="69"/>
      <c r="BH647" s="69"/>
      <c r="BI647" s="69"/>
      <c r="BJ647" s="69"/>
      <c r="BK647" s="69"/>
      <c r="BL647" s="69"/>
      <c r="BM647" s="69"/>
      <c r="BN647" s="69"/>
      <c r="BO647" s="69"/>
      <c r="BP647" s="69"/>
      <c r="BQ647" s="69"/>
      <c r="BR647" s="8"/>
    </row>
    <row r="648" ht="12.0" customHeight="1">
      <c r="A648" s="69"/>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69"/>
      <c r="AS648" s="69"/>
      <c r="AT648" s="69"/>
      <c r="AU648" s="69"/>
      <c r="AV648" s="69"/>
      <c r="AW648" s="69"/>
      <c r="AX648" s="69"/>
      <c r="AY648" s="69"/>
      <c r="AZ648" s="69"/>
      <c r="BA648" s="69"/>
      <c r="BB648" s="69"/>
      <c r="BC648" s="69"/>
      <c r="BD648" s="69"/>
      <c r="BE648" s="69"/>
      <c r="BF648" s="69"/>
      <c r="BG648" s="69"/>
      <c r="BH648" s="69"/>
      <c r="BI648" s="69"/>
      <c r="BJ648" s="69"/>
      <c r="BK648" s="69"/>
      <c r="BL648" s="69"/>
      <c r="BM648" s="69"/>
      <c r="BN648" s="69"/>
      <c r="BO648" s="69"/>
      <c r="BP648" s="69"/>
      <c r="BQ648" s="69"/>
      <c r="BR648" s="8"/>
    </row>
    <row r="649" ht="12.0" customHeight="1">
      <c r="A649" s="69"/>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69"/>
      <c r="AS649" s="69"/>
      <c r="AT649" s="69"/>
      <c r="AU649" s="69"/>
      <c r="AV649" s="69"/>
      <c r="AW649" s="69"/>
      <c r="AX649" s="69"/>
      <c r="AY649" s="69"/>
      <c r="AZ649" s="69"/>
      <c r="BA649" s="69"/>
      <c r="BB649" s="69"/>
      <c r="BC649" s="69"/>
      <c r="BD649" s="69"/>
      <c r="BE649" s="69"/>
      <c r="BF649" s="69"/>
      <c r="BG649" s="69"/>
      <c r="BH649" s="69"/>
      <c r="BI649" s="69"/>
      <c r="BJ649" s="69"/>
      <c r="BK649" s="69"/>
      <c r="BL649" s="69"/>
      <c r="BM649" s="69"/>
      <c r="BN649" s="69"/>
      <c r="BO649" s="69"/>
      <c r="BP649" s="69"/>
      <c r="BQ649" s="69"/>
      <c r="BR649" s="8"/>
    </row>
    <row r="650" ht="12.0" customHeight="1">
      <c r="A650" s="69"/>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69"/>
      <c r="AS650" s="69"/>
      <c r="AT650" s="69"/>
      <c r="AU650" s="69"/>
      <c r="AV650" s="69"/>
      <c r="AW650" s="69"/>
      <c r="AX650" s="69"/>
      <c r="AY650" s="69"/>
      <c r="AZ650" s="69"/>
      <c r="BA650" s="69"/>
      <c r="BB650" s="69"/>
      <c r="BC650" s="69"/>
      <c r="BD650" s="69"/>
      <c r="BE650" s="69"/>
      <c r="BF650" s="69"/>
      <c r="BG650" s="69"/>
      <c r="BH650" s="69"/>
      <c r="BI650" s="69"/>
      <c r="BJ650" s="69"/>
      <c r="BK650" s="69"/>
      <c r="BL650" s="69"/>
      <c r="BM650" s="69"/>
      <c r="BN650" s="69"/>
      <c r="BO650" s="69"/>
      <c r="BP650" s="69"/>
      <c r="BQ650" s="69"/>
      <c r="BR650" s="8"/>
    </row>
    <row r="651" ht="12.0" customHeight="1">
      <c r="A651" s="69"/>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69"/>
      <c r="AS651" s="69"/>
      <c r="AT651" s="69"/>
      <c r="AU651" s="69"/>
      <c r="AV651" s="69"/>
      <c r="AW651" s="69"/>
      <c r="AX651" s="69"/>
      <c r="AY651" s="69"/>
      <c r="AZ651" s="69"/>
      <c r="BA651" s="69"/>
      <c r="BB651" s="69"/>
      <c r="BC651" s="69"/>
      <c r="BD651" s="69"/>
      <c r="BE651" s="69"/>
      <c r="BF651" s="69"/>
      <c r="BG651" s="69"/>
      <c r="BH651" s="69"/>
      <c r="BI651" s="69"/>
      <c r="BJ651" s="69"/>
      <c r="BK651" s="69"/>
      <c r="BL651" s="69"/>
      <c r="BM651" s="69"/>
      <c r="BN651" s="69"/>
      <c r="BO651" s="69"/>
      <c r="BP651" s="69"/>
      <c r="BQ651" s="69"/>
      <c r="BR651" s="8"/>
    </row>
    <row r="652" ht="12.0" customHeight="1">
      <c r="A652" s="69"/>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69"/>
      <c r="AS652" s="69"/>
      <c r="AT652" s="69"/>
      <c r="AU652" s="69"/>
      <c r="AV652" s="69"/>
      <c r="AW652" s="69"/>
      <c r="AX652" s="69"/>
      <c r="AY652" s="69"/>
      <c r="AZ652" s="69"/>
      <c r="BA652" s="69"/>
      <c r="BB652" s="69"/>
      <c r="BC652" s="69"/>
      <c r="BD652" s="69"/>
      <c r="BE652" s="69"/>
      <c r="BF652" s="69"/>
      <c r="BG652" s="69"/>
      <c r="BH652" s="69"/>
      <c r="BI652" s="69"/>
      <c r="BJ652" s="69"/>
      <c r="BK652" s="69"/>
      <c r="BL652" s="69"/>
      <c r="BM652" s="69"/>
      <c r="BN652" s="69"/>
      <c r="BO652" s="69"/>
      <c r="BP652" s="69"/>
      <c r="BQ652" s="69"/>
      <c r="BR652" s="8"/>
    </row>
    <row r="653" ht="12.0" customHeight="1">
      <c r="A653" s="69"/>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69"/>
      <c r="AS653" s="69"/>
      <c r="AT653" s="69"/>
      <c r="AU653" s="69"/>
      <c r="AV653" s="69"/>
      <c r="AW653" s="69"/>
      <c r="AX653" s="69"/>
      <c r="AY653" s="69"/>
      <c r="AZ653" s="69"/>
      <c r="BA653" s="69"/>
      <c r="BB653" s="69"/>
      <c r="BC653" s="69"/>
      <c r="BD653" s="69"/>
      <c r="BE653" s="69"/>
      <c r="BF653" s="69"/>
      <c r="BG653" s="69"/>
      <c r="BH653" s="69"/>
      <c r="BI653" s="69"/>
      <c r="BJ653" s="69"/>
      <c r="BK653" s="69"/>
      <c r="BL653" s="69"/>
      <c r="BM653" s="69"/>
      <c r="BN653" s="69"/>
      <c r="BO653" s="69"/>
      <c r="BP653" s="69"/>
      <c r="BQ653" s="69"/>
      <c r="BR653" s="8"/>
    </row>
    <row r="654" ht="12.0" customHeight="1">
      <c r="A654" s="69"/>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69"/>
      <c r="AS654" s="69"/>
      <c r="AT654" s="69"/>
      <c r="AU654" s="69"/>
      <c r="AV654" s="69"/>
      <c r="AW654" s="69"/>
      <c r="AX654" s="69"/>
      <c r="AY654" s="69"/>
      <c r="AZ654" s="69"/>
      <c r="BA654" s="69"/>
      <c r="BB654" s="69"/>
      <c r="BC654" s="69"/>
      <c r="BD654" s="69"/>
      <c r="BE654" s="69"/>
      <c r="BF654" s="69"/>
      <c r="BG654" s="69"/>
      <c r="BH654" s="69"/>
      <c r="BI654" s="69"/>
      <c r="BJ654" s="69"/>
      <c r="BK654" s="69"/>
      <c r="BL654" s="69"/>
      <c r="BM654" s="69"/>
      <c r="BN654" s="69"/>
      <c r="BO654" s="69"/>
      <c r="BP654" s="69"/>
      <c r="BQ654" s="69"/>
      <c r="BR654" s="8"/>
    </row>
    <row r="655" ht="12.0" customHeight="1">
      <c r="A655" s="69"/>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69"/>
      <c r="AS655" s="69"/>
      <c r="AT655" s="69"/>
      <c r="AU655" s="69"/>
      <c r="AV655" s="69"/>
      <c r="AW655" s="69"/>
      <c r="AX655" s="69"/>
      <c r="AY655" s="69"/>
      <c r="AZ655" s="69"/>
      <c r="BA655" s="69"/>
      <c r="BB655" s="69"/>
      <c r="BC655" s="69"/>
      <c r="BD655" s="69"/>
      <c r="BE655" s="69"/>
      <c r="BF655" s="69"/>
      <c r="BG655" s="69"/>
      <c r="BH655" s="69"/>
      <c r="BI655" s="69"/>
      <c r="BJ655" s="69"/>
      <c r="BK655" s="69"/>
      <c r="BL655" s="69"/>
      <c r="BM655" s="69"/>
      <c r="BN655" s="69"/>
      <c r="BO655" s="69"/>
      <c r="BP655" s="69"/>
      <c r="BQ655" s="69"/>
      <c r="BR655" s="8"/>
    </row>
    <row r="656" ht="12.0" customHeight="1">
      <c r="A656" s="69"/>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69"/>
      <c r="AS656" s="69"/>
      <c r="AT656" s="69"/>
      <c r="AU656" s="69"/>
      <c r="AV656" s="69"/>
      <c r="AW656" s="69"/>
      <c r="AX656" s="69"/>
      <c r="AY656" s="69"/>
      <c r="AZ656" s="69"/>
      <c r="BA656" s="69"/>
      <c r="BB656" s="69"/>
      <c r="BC656" s="69"/>
      <c r="BD656" s="69"/>
      <c r="BE656" s="69"/>
      <c r="BF656" s="69"/>
      <c r="BG656" s="69"/>
      <c r="BH656" s="69"/>
      <c r="BI656" s="69"/>
      <c r="BJ656" s="69"/>
      <c r="BK656" s="69"/>
      <c r="BL656" s="69"/>
      <c r="BM656" s="69"/>
      <c r="BN656" s="69"/>
      <c r="BO656" s="69"/>
      <c r="BP656" s="69"/>
      <c r="BQ656" s="69"/>
      <c r="BR656" s="8"/>
    </row>
    <row r="657" ht="12.0" customHeight="1">
      <c r="A657" s="69"/>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69"/>
      <c r="AS657" s="69"/>
      <c r="AT657" s="69"/>
      <c r="AU657" s="69"/>
      <c r="AV657" s="69"/>
      <c r="AW657" s="69"/>
      <c r="AX657" s="69"/>
      <c r="AY657" s="69"/>
      <c r="AZ657" s="69"/>
      <c r="BA657" s="69"/>
      <c r="BB657" s="69"/>
      <c r="BC657" s="69"/>
      <c r="BD657" s="69"/>
      <c r="BE657" s="69"/>
      <c r="BF657" s="69"/>
      <c r="BG657" s="69"/>
      <c r="BH657" s="69"/>
      <c r="BI657" s="69"/>
      <c r="BJ657" s="69"/>
      <c r="BK657" s="69"/>
      <c r="BL657" s="69"/>
      <c r="BM657" s="69"/>
      <c r="BN657" s="69"/>
      <c r="BO657" s="69"/>
      <c r="BP657" s="69"/>
      <c r="BQ657" s="69"/>
      <c r="BR657" s="8"/>
    </row>
    <row r="658" ht="12.0" customHeight="1">
      <c r="A658" s="69"/>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69"/>
      <c r="AS658" s="69"/>
      <c r="AT658" s="69"/>
      <c r="AU658" s="69"/>
      <c r="AV658" s="69"/>
      <c r="AW658" s="69"/>
      <c r="AX658" s="69"/>
      <c r="AY658" s="69"/>
      <c r="AZ658" s="69"/>
      <c r="BA658" s="69"/>
      <c r="BB658" s="69"/>
      <c r="BC658" s="69"/>
      <c r="BD658" s="69"/>
      <c r="BE658" s="69"/>
      <c r="BF658" s="69"/>
      <c r="BG658" s="69"/>
      <c r="BH658" s="69"/>
      <c r="BI658" s="69"/>
      <c r="BJ658" s="69"/>
      <c r="BK658" s="69"/>
      <c r="BL658" s="69"/>
      <c r="BM658" s="69"/>
      <c r="BN658" s="69"/>
      <c r="BO658" s="69"/>
      <c r="BP658" s="69"/>
      <c r="BQ658" s="69"/>
      <c r="BR658" s="8"/>
    </row>
    <row r="659" ht="12.0" customHeight="1">
      <c r="A659" s="69"/>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69"/>
      <c r="AS659" s="69"/>
      <c r="AT659" s="69"/>
      <c r="AU659" s="69"/>
      <c r="AV659" s="69"/>
      <c r="AW659" s="69"/>
      <c r="AX659" s="69"/>
      <c r="AY659" s="69"/>
      <c r="AZ659" s="69"/>
      <c r="BA659" s="69"/>
      <c r="BB659" s="69"/>
      <c r="BC659" s="69"/>
      <c r="BD659" s="69"/>
      <c r="BE659" s="69"/>
      <c r="BF659" s="69"/>
      <c r="BG659" s="69"/>
      <c r="BH659" s="69"/>
      <c r="BI659" s="69"/>
      <c r="BJ659" s="69"/>
      <c r="BK659" s="69"/>
      <c r="BL659" s="69"/>
      <c r="BM659" s="69"/>
      <c r="BN659" s="69"/>
      <c r="BO659" s="69"/>
      <c r="BP659" s="69"/>
      <c r="BQ659" s="69"/>
      <c r="BR659" s="8"/>
    </row>
    <row r="660" ht="12.0" customHeight="1">
      <c r="A660" s="69"/>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69"/>
      <c r="AS660" s="69"/>
      <c r="AT660" s="69"/>
      <c r="AU660" s="69"/>
      <c r="AV660" s="69"/>
      <c r="AW660" s="69"/>
      <c r="AX660" s="69"/>
      <c r="AY660" s="69"/>
      <c r="AZ660" s="69"/>
      <c r="BA660" s="69"/>
      <c r="BB660" s="69"/>
      <c r="BC660" s="69"/>
      <c r="BD660" s="69"/>
      <c r="BE660" s="69"/>
      <c r="BF660" s="69"/>
      <c r="BG660" s="69"/>
      <c r="BH660" s="69"/>
      <c r="BI660" s="69"/>
      <c r="BJ660" s="69"/>
      <c r="BK660" s="69"/>
      <c r="BL660" s="69"/>
      <c r="BM660" s="69"/>
      <c r="BN660" s="69"/>
      <c r="BO660" s="69"/>
      <c r="BP660" s="69"/>
      <c r="BQ660" s="69"/>
      <c r="BR660" s="8"/>
    </row>
    <row r="661" ht="12.0" customHeight="1">
      <c r="A661" s="69"/>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69"/>
      <c r="AS661" s="69"/>
      <c r="AT661" s="69"/>
      <c r="AU661" s="69"/>
      <c r="AV661" s="69"/>
      <c r="AW661" s="69"/>
      <c r="AX661" s="69"/>
      <c r="AY661" s="69"/>
      <c r="AZ661" s="69"/>
      <c r="BA661" s="69"/>
      <c r="BB661" s="69"/>
      <c r="BC661" s="69"/>
      <c r="BD661" s="69"/>
      <c r="BE661" s="69"/>
      <c r="BF661" s="69"/>
      <c r="BG661" s="69"/>
      <c r="BH661" s="69"/>
      <c r="BI661" s="69"/>
      <c r="BJ661" s="69"/>
      <c r="BK661" s="69"/>
      <c r="BL661" s="69"/>
      <c r="BM661" s="69"/>
      <c r="BN661" s="69"/>
      <c r="BO661" s="69"/>
      <c r="BP661" s="69"/>
      <c r="BQ661" s="69"/>
      <c r="BR661" s="8"/>
    </row>
    <row r="662" ht="12.0" customHeight="1">
      <c r="A662" s="69"/>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69"/>
      <c r="AS662" s="69"/>
      <c r="AT662" s="69"/>
      <c r="AU662" s="69"/>
      <c r="AV662" s="69"/>
      <c r="AW662" s="69"/>
      <c r="AX662" s="69"/>
      <c r="AY662" s="69"/>
      <c r="AZ662" s="69"/>
      <c r="BA662" s="69"/>
      <c r="BB662" s="69"/>
      <c r="BC662" s="69"/>
      <c r="BD662" s="69"/>
      <c r="BE662" s="69"/>
      <c r="BF662" s="69"/>
      <c r="BG662" s="69"/>
      <c r="BH662" s="69"/>
      <c r="BI662" s="69"/>
      <c r="BJ662" s="69"/>
      <c r="BK662" s="69"/>
      <c r="BL662" s="69"/>
      <c r="BM662" s="69"/>
      <c r="BN662" s="69"/>
      <c r="BO662" s="69"/>
      <c r="BP662" s="69"/>
      <c r="BQ662" s="69"/>
      <c r="BR662" s="8"/>
    </row>
    <row r="663" ht="12.0" customHeight="1">
      <c r="A663" s="69"/>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69"/>
      <c r="AS663" s="69"/>
      <c r="AT663" s="69"/>
      <c r="AU663" s="69"/>
      <c r="AV663" s="69"/>
      <c r="AW663" s="69"/>
      <c r="AX663" s="69"/>
      <c r="AY663" s="69"/>
      <c r="AZ663" s="69"/>
      <c r="BA663" s="69"/>
      <c r="BB663" s="69"/>
      <c r="BC663" s="69"/>
      <c r="BD663" s="69"/>
      <c r="BE663" s="69"/>
      <c r="BF663" s="69"/>
      <c r="BG663" s="69"/>
      <c r="BH663" s="69"/>
      <c r="BI663" s="69"/>
      <c r="BJ663" s="69"/>
      <c r="BK663" s="69"/>
      <c r="BL663" s="69"/>
      <c r="BM663" s="69"/>
      <c r="BN663" s="69"/>
      <c r="BO663" s="69"/>
      <c r="BP663" s="69"/>
      <c r="BQ663" s="69"/>
      <c r="BR663" s="8"/>
    </row>
    <row r="664" ht="12.0" customHeight="1">
      <c r="A664" s="69"/>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69"/>
      <c r="AS664" s="69"/>
      <c r="AT664" s="69"/>
      <c r="AU664" s="69"/>
      <c r="AV664" s="69"/>
      <c r="AW664" s="69"/>
      <c r="AX664" s="69"/>
      <c r="AY664" s="69"/>
      <c r="AZ664" s="69"/>
      <c r="BA664" s="69"/>
      <c r="BB664" s="69"/>
      <c r="BC664" s="69"/>
      <c r="BD664" s="69"/>
      <c r="BE664" s="69"/>
      <c r="BF664" s="69"/>
      <c r="BG664" s="69"/>
      <c r="BH664" s="69"/>
      <c r="BI664" s="69"/>
      <c r="BJ664" s="69"/>
      <c r="BK664" s="69"/>
      <c r="BL664" s="69"/>
      <c r="BM664" s="69"/>
      <c r="BN664" s="69"/>
      <c r="BO664" s="69"/>
      <c r="BP664" s="69"/>
      <c r="BQ664" s="69"/>
      <c r="BR664" s="8"/>
    </row>
    <row r="665" ht="12.0" customHeight="1">
      <c r="A665" s="69"/>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69"/>
      <c r="AS665" s="69"/>
      <c r="AT665" s="69"/>
      <c r="AU665" s="69"/>
      <c r="AV665" s="69"/>
      <c r="AW665" s="69"/>
      <c r="AX665" s="69"/>
      <c r="AY665" s="69"/>
      <c r="AZ665" s="69"/>
      <c r="BA665" s="69"/>
      <c r="BB665" s="69"/>
      <c r="BC665" s="69"/>
      <c r="BD665" s="69"/>
      <c r="BE665" s="69"/>
      <c r="BF665" s="69"/>
      <c r="BG665" s="69"/>
      <c r="BH665" s="69"/>
      <c r="BI665" s="69"/>
      <c r="BJ665" s="69"/>
      <c r="BK665" s="69"/>
      <c r="BL665" s="69"/>
      <c r="BM665" s="69"/>
      <c r="BN665" s="69"/>
      <c r="BO665" s="69"/>
      <c r="BP665" s="69"/>
      <c r="BQ665" s="69"/>
      <c r="BR665" s="8"/>
    </row>
    <row r="666" ht="12.0" customHeight="1">
      <c r="A666" s="69"/>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69"/>
      <c r="AS666" s="69"/>
      <c r="AT666" s="69"/>
      <c r="AU666" s="69"/>
      <c r="AV666" s="69"/>
      <c r="AW666" s="69"/>
      <c r="AX666" s="69"/>
      <c r="AY666" s="69"/>
      <c r="AZ666" s="69"/>
      <c r="BA666" s="69"/>
      <c r="BB666" s="69"/>
      <c r="BC666" s="69"/>
      <c r="BD666" s="69"/>
      <c r="BE666" s="69"/>
      <c r="BF666" s="69"/>
      <c r="BG666" s="69"/>
      <c r="BH666" s="69"/>
      <c r="BI666" s="69"/>
      <c r="BJ666" s="69"/>
      <c r="BK666" s="69"/>
      <c r="BL666" s="69"/>
      <c r="BM666" s="69"/>
      <c r="BN666" s="69"/>
      <c r="BO666" s="69"/>
      <c r="BP666" s="69"/>
      <c r="BQ666" s="69"/>
      <c r="BR666" s="8"/>
    </row>
    <row r="667" ht="12.0" customHeight="1">
      <c r="A667" s="69"/>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69"/>
      <c r="AS667" s="69"/>
      <c r="AT667" s="69"/>
      <c r="AU667" s="69"/>
      <c r="AV667" s="69"/>
      <c r="AW667" s="69"/>
      <c r="AX667" s="69"/>
      <c r="AY667" s="69"/>
      <c r="AZ667" s="69"/>
      <c r="BA667" s="69"/>
      <c r="BB667" s="69"/>
      <c r="BC667" s="69"/>
      <c r="BD667" s="69"/>
      <c r="BE667" s="69"/>
      <c r="BF667" s="69"/>
      <c r="BG667" s="69"/>
      <c r="BH667" s="69"/>
      <c r="BI667" s="69"/>
      <c r="BJ667" s="69"/>
      <c r="BK667" s="69"/>
      <c r="BL667" s="69"/>
      <c r="BM667" s="69"/>
      <c r="BN667" s="69"/>
      <c r="BO667" s="69"/>
      <c r="BP667" s="69"/>
      <c r="BQ667" s="69"/>
      <c r="BR667" s="8"/>
    </row>
    <row r="668" ht="12.0" customHeight="1">
      <c r="A668" s="69"/>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69"/>
      <c r="AS668" s="69"/>
      <c r="AT668" s="69"/>
      <c r="AU668" s="69"/>
      <c r="AV668" s="69"/>
      <c r="AW668" s="69"/>
      <c r="AX668" s="69"/>
      <c r="AY668" s="69"/>
      <c r="AZ668" s="69"/>
      <c r="BA668" s="69"/>
      <c r="BB668" s="69"/>
      <c r="BC668" s="69"/>
      <c r="BD668" s="69"/>
      <c r="BE668" s="69"/>
      <c r="BF668" s="69"/>
      <c r="BG668" s="69"/>
      <c r="BH668" s="69"/>
      <c r="BI668" s="69"/>
      <c r="BJ668" s="69"/>
      <c r="BK668" s="69"/>
      <c r="BL668" s="69"/>
      <c r="BM668" s="69"/>
      <c r="BN668" s="69"/>
      <c r="BO668" s="69"/>
      <c r="BP668" s="69"/>
      <c r="BQ668" s="69"/>
      <c r="BR668" s="8"/>
    </row>
    <row r="669" ht="12.0" customHeight="1">
      <c r="A669" s="69"/>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69"/>
      <c r="AS669" s="69"/>
      <c r="AT669" s="69"/>
      <c r="AU669" s="69"/>
      <c r="AV669" s="69"/>
      <c r="AW669" s="69"/>
      <c r="AX669" s="69"/>
      <c r="AY669" s="69"/>
      <c r="AZ669" s="69"/>
      <c r="BA669" s="69"/>
      <c r="BB669" s="69"/>
      <c r="BC669" s="69"/>
      <c r="BD669" s="69"/>
      <c r="BE669" s="69"/>
      <c r="BF669" s="69"/>
      <c r="BG669" s="69"/>
      <c r="BH669" s="69"/>
      <c r="BI669" s="69"/>
      <c r="BJ669" s="69"/>
      <c r="BK669" s="69"/>
      <c r="BL669" s="69"/>
      <c r="BM669" s="69"/>
      <c r="BN669" s="69"/>
      <c r="BO669" s="69"/>
      <c r="BP669" s="69"/>
      <c r="BQ669" s="69"/>
      <c r="BR669" s="8"/>
    </row>
    <row r="670" ht="12.0" customHeight="1">
      <c r="A670" s="69"/>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69"/>
      <c r="AS670" s="69"/>
      <c r="AT670" s="69"/>
      <c r="AU670" s="69"/>
      <c r="AV670" s="69"/>
      <c r="AW670" s="69"/>
      <c r="AX670" s="69"/>
      <c r="AY670" s="69"/>
      <c r="AZ670" s="69"/>
      <c r="BA670" s="69"/>
      <c r="BB670" s="69"/>
      <c r="BC670" s="69"/>
      <c r="BD670" s="69"/>
      <c r="BE670" s="69"/>
      <c r="BF670" s="69"/>
      <c r="BG670" s="69"/>
      <c r="BH670" s="69"/>
      <c r="BI670" s="69"/>
      <c r="BJ670" s="69"/>
      <c r="BK670" s="69"/>
      <c r="BL670" s="69"/>
      <c r="BM670" s="69"/>
      <c r="BN670" s="69"/>
      <c r="BO670" s="69"/>
      <c r="BP670" s="69"/>
      <c r="BQ670" s="69"/>
      <c r="BR670" s="8"/>
    </row>
    <row r="671" ht="12.0" customHeight="1">
      <c r="A671" s="69"/>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69"/>
      <c r="AS671" s="69"/>
      <c r="AT671" s="69"/>
      <c r="AU671" s="69"/>
      <c r="AV671" s="69"/>
      <c r="AW671" s="69"/>
      <c r="AX671" s="69"/>
      <c r="AY671" s="69"/>
      <c r="AZ671" s="69"/>
      <c r="BA671" s="69"/>
      <c r="BB671" s="69"/>
      <c r="BC671" s="69"/>
      <c r="BD671" s="69"/>
      <c r="BE671" s="69"/>
      <c r="BF671" s="69"/>
      <c r="BG671" s="69"/>
      <c r="BH671" s="69"/>
      <c r="BI671" s="69"/>
      <c r="BJ671" s="69"/>
      <c r="BK671" s="69"/>
      <c r="BL671" s="69"/>
      <c r="BM671" s="69"/>
      <c r="BN671" s="69"/>
      <c r="BO671" s="69"/>
      <c r="BP671" s="69"/>
      <c r="BQ671" s="69"/>
      <c r="BR671" s="8"/>
    </row>
    <row r="672" ht="12.0" customHeight="1">
      <c r="A672" s="69"/>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69"/>
      <c r="AS672" s="69"/>
      <c r="AT672" s="69"/>
      <c r="AU672" s="69"/>
      <c r="AV672" s="69"/>
      <c r="AW672" s="69"/>
      <c r="AX672" s="69"/>
      <c r="AY672" s="69"/>
      <c r="AZ672" s="69"/>
      <c r="BA672" s="69"/>
      <c r="BB672" s="69"/>
      <c r="BC672" s="69"/>
      <c r="BD672" s="69"/>
      <c r="BE672" s="69"/>
      <c r="BF672" s="69"/>
      <c r="BG672" s="69"/>
      <c r="BH672" s="69"/>
      <c r="BI672" s="69"/>
      <c r="BJ672" s="69"/>
      <c r="BK672" s="69"/>
      <c r="BL672" s="69"/>
      <c r="BM672" s="69"/>
      <c r="BN672" s="69"/>
      <c r="BO672" s="69"/>
      <c r="BP672" s="69"/>
      <c r="BQ672" s="69"/>
      <c r="BR672" s="8"/>
    </row>
    <row r="673" ht="12.0" customHeight="1">
      <c r="A673" s="69"/>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69"/>
      <c r="AS673" s="69"/>
      <c r="AT673" s="69"/>
      <c r="AU673" s="69"/>
      <c r="AV673" s="69"/>
      <c r="AW673" s="69"/>
      <c r="AX673" s="69"/>
      <c r="AY673" s="69"/>
      <c r="AZ673" s="69"/>
      <c r="BA673" s="69"/>
      <c r="BB673" s="69"/>
      <c r="BC673" s="69"/>
      <c r="BD673" s="69"/>
      <c r="BE673" s="69"/>
      <c r="BF673" s="69"/>
      <c r="BG673" s="69"/>
      <c r="BH673" s="69"/>
      <c r="BI673" s="69"/>
      <c r="BJ673" s="69"/>
      <c r="BK673" s="69"/>
      <c r="BL673" s="69"/>
      <c r="BM673" s="69"/>
      <c r="BN673" s="69"/>
      <c r="BO673" s="69"/>
      <c r="BP673" s="69"/>
      <c r="BQ673" s="69"/>
      <c r="BR673" s="8"/>
    </row>
    <row r="674" ht="12.0" customHeight="1">
      <c r="A674" s="69"/>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69"/>
      <c r="AS674" s="69"/>
      <c r="AT674" s="69"/>
      <c r="AU674" s="69"/>
      <c r="AV674" s="69"/>
      <c r="AW674" s="69"/>
      <c r="AX674" s="69"/>
      <c r="AY674" s="69"/>
      <c r="AZ674" s="69"/>
      <c r="BA674" s="69"/>
      <c r="BB674" s="69"/>
      <c r="BC674" s="69"/>
      <c r="BD674" s="69"/>
      <c r="BE674" s="69"/>
      <c r="BF674" s="69"/>
      <c r="BG674" s="69"/>
      <c r="BH674" s="69"/>
      <c r="BI674" s="69"/>
      <c r="BJ674" s="69"/>
      <c r="BK674" s="69"/>
      <c r="BL674" s="69"/>
      <c r="BM674" s="69"/>
      <c r="BN674" s="69"/>
      <c r="BO674" s="69"/>
      <c r="BP674" s="69"/>
      <c r="BQ674" s="69"/>
      <c r="BR674" s="8"/>
    </row>
    <row r="675" ht="12.0" customHeight="1">
      <c r="A675" s="69"/>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69"/>
      <c r="AS675" s="69"/>
      <c r="AT675" s="69"/>
      <c r="AU675" s="69"/>
      <c r="AV675" s="69"/>
      <c r="AW675" s="69"/>
      <c r="AX675" s="69"/>
      <c r="AY675" s="69"/>
      <c r="AZ675" s="69"/>
      <c r="BA675" s="69"/>
      <c r="BB675" s="69"/>
      <c r="BC675" s="69"/>
      <c r="BD675" s="69"/>
      <c r="BE675" s="69"/>
      <c r="BF675" s="69"/>
      <c r="BG675" s="69"/>
      <c r="BH675" s="69"/>
      <c r="BI675" s="69"/>
      <c r="BJ675" s="69"/>
      <c r="BK675" s="69"/>
      <c r="BL675" s="69"/>
      <c r="BM675" s="69"/>
      <c r="BN675" s="69"/>
      <c r="BO675" s="69"/>
      <c r="BP675" s="69"/>
      <c r="BQ675" s="69"/>
      <c r="BR675" s="8"/>
    </row>
    <row r="676" ht="12.0" customHeight="1">
      <c r="A676" s="69"/>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69"/>
      <c r="AS676" s="69"/>
      <c r="AT676" s="69"/>
      <c r="AU676" s="69"/>
      <c r="AV676" s="69"/>
      <c r="AW676" s="69"/>
      <c r="AX676" s="69"/>
      <c r="AY676" s="69"/>
      <c r="AZ676" s="69"/>
      <c r="BA676" s="69"/>
      <c r="BB676" s="69"/>
      <c r="BC676" s="69"/>
      <c r="BD676" s="69"/>
      <c r="BE676" s="69"/>
      <c r="BF676" s="69"/>
      <c r="BG676" s="69"/>
      <c r="BH676" s="69"/>
      <c r="BI676" s="69"/>
      <c r="BJ676" s="69"/>
      <c r="BK676" s="69"/>
      <c r="BL676" s="69"/>
      <c r="BM676" s="69"/>
      <c r="BN676" s="69"/>
      <c r="BO676" s="69"/>
      <c r="BP676" s="69"/>
      <c r="BQ676" s="69"/>
      <c r="BR676" s="8"/>
    </row>
    <row r="677" ht="12.0" customHeight="1">
      <c r="A677" s="69"/>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69"/>
      <c r="AS677" s="69"/>
      <c r="AT677" s="69"/>
      <c r="AU677" s="69"/>
      <c r="AV677" s="69"/>
      <c r="AW677" s="69"/>
      <c r="AX677" s="69"/>
      <c r="AY677" s="69"/>
      <c r="AZ677" s="69"/>
      <c r="BA677" s="69"/>
      <c r="BB677" s="69"/>
      <c r="BC677" s="69"/>
      <c r="BD677" s="69"/>
      <c r="BE677" s="69"/>
      <c r="BF677" s="69"/>
      <c r="BG677" s="69"/>
      <c r="BH677" s="69"/>
      <c r="BI677" s="69"/>
      <c r="BJ677" s="69"/>
      <c r="BK677" s="69"/>
      <c r="BL677" s="69"/>
      <c r="BM677" s="69"/>
      <c r="BN677" s="69"/>
      <c r="BO677" s="69"/>
      <c r="BP677" s="69"/>
      <c r="BQ677" s="69"/>
      <c r="BR677" s="8"/>
    </row>
    <row r="678" ht="12.0" customHeight="1">
      <c r="A678" s="69"/>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69"/>
      <c r="AS678" s="69"/>
      <c r="AT678" s="69"/>
      <c r="AU678" s="69"/>
      <c r="AV678" s="69"/>
      <c r="AW678" s="69"/>
      <c r="AX678" s="69"/>
      <c r="AY678" s="69"/>
      <c r="AZ678" s="69"/>
      <c r="BA678" s="69"/>
      <c r="BB678" s="69"/>
      <c r="BC678" s="69"/>
      <c r="BD678" s="69"/>
      <c r="BE678" s="69"/>
      <c r="BF678" s="69"/>
      <c r="BG678" s="69"/>
      <c r="BH678" s="69"/>
      <c r="BI678" s="69"/>
      <c r="BJ678" s="69"/>
      <c r="BK678" s="69"/>
      <c r="BL678" s="69"/>
      <c r="BM678" s="69"/>
      <c r="BN678" s="69"/>
      <c r="BO678" s="69"/>
      <c r="BP678" s="69"/>
      <c r="BQ678" s="69"/>
      <c r="BR678" s="8"/>
    </row>
    <row r="679" ht="12.0" customHeight="1">
      <c r="A679" s="69"/>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69"/>
      <c r="AS679" s="69"/>
      <c r="AT679" s="69"/>
      <c r="AU679" s="69"/>
      <c r="AV679" s="69"/>
      <c r="AW679" s="69"/>
      <c r="AX679" s="69"/>
      <c r="AY679" s="69"/>
      <c r="AZ679" s="69"/>
      <c r="BA679" s="69"/>
      <c r="BB679" s="69"/>
      <c r="BC679" s="69"/>
      <c r="BD679" s="69"/>
      <c r="BE679" s="69"/>
      <c r="BF679" s="69"/>
      <c r="BG679" s="69"/>
      <c r="BH679" s="69"/>
      <c r="BI679" s="69"/>
      <c r="BJ679" s="69"/>
      <c r="BK679" s="69"/>
      <c r="BL679" s="69"/>
      <c r="BM679" s="69"/>
      <c r="BN679" s="69"/>
      <c r="BO679" s="69"/>
      <c r="BP679" s="69"/>
      <c r="BQ679" s="69"/>
      <c r="BR679" s="8"/>
    </row>
    <row r="680" ht="12.0" customHeight="1">
      <c r="A680" s="69"/>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69"/>
      <c r="AS680" s="69"/>
      <c r="AT680" s="69"/>
      <c r="AU680" s="69"/>
      <c r="AV680" s="69"/>
      <c r="AW680" s="69"/>
      <c r="AX680" s="69"/>
      <c r="AY680" s="69"/>
      <c r="AZ680" s="69"/>
      <c r="BA680" s="69"/>
      <c r="BB680" s="69"/>
      <c r="BC680" s="69"/>
      <c r="BD680" s="69"/>
      <c r="BE680" s="69"/>
      <c r="BF680" s="69"/>
      <c r="BG680" s="69"/>
      <c r="BH680" s="69"/>
      <c r="BI680" s="69"/>
      <c r="BJ680" s="69"/>
      <c r="BK680" s="69"/>
      <c r="BL680" s="69"/>
      <c r="BM680" s="69"/>
      <c r="BN680" s="69"/>
      <c r="BO680" s="69"/>
      <c r="BP680" s="69"/>
      <c r="BQ680" s="69"/>
      <c r="BR680" s="8"/>
    </row>
    <row r="681" ht="12.0" customHeight="1">
      <c r="A681" s="69"/>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69"/>
      <c r="AS681" s="69"/>
      <c r="AT681" s="69"/>
      <c r="AU681" s="69"/>
      <c r="AV681" s="69"/>
      <c r="AW681" s="69"/>
      <c r="AX681" s="69"/>
      <c r="AY681" s="69"/>
      <c r="AZ681" s="69"/>
      <c r="BA681" s="69"/>
      <c r="BB681" s="69"/>
      <c r="BC681" s="69"/>
      <c r="BD681" s="69"/>
      <c r="BE681" s="69"/>
      <c r="BF681" s="69"/>
      <c r="BG681" s="69"/>
      <c r="BH681" s="69"/>
      <c r="BI681" s="69"/>
      <c r="BJ681" s="69"/>
      <c r="BK681" s="69"/>
      <c r="BL681" s="69"/>
      <c r="BM681" s="69"/>
      <c r="BN681" s="69"/>
      <c r="BO681" s="69"/>
      <c r="BP681" s="69"/>
      <c r="BQ681" s="69"/>
      <c r="BR681" s="8"/>
    </row>
    <row r="682" ht="12.0" customHeight="1">
      <c r="A682" s="69"/>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69"/>
      <c r="AS682" s="69"/>
      <c r="AT682" s="69"/>
      <c r="AU682" s="69"/>
      <c r="AV682" s="69"/>
      <c r="AW682" s="69"/>
      <c r="AX682" s="69"/>
      <c r="AY682" s="69"/>
      <c r="AZ682" s="69"/>
      <c r="BA682" s="69"/>
      <c r="BB682" s="69"/>
      <c r="BC682" s="69"/>
      <c r="BD682" s="69"/>
      <c r="BE682" s="69"/>
      <c r="BF682" s="69"/>
      <c r="BG682" s="69"/>
      <c r="BH682" s="69"/>
      <c r="BI682" s="69"/>
      <c r="BJ682" s="69"/>
      <c r="BK682" s="69"/>
      <c r="BL682" s="69"/>
      <c r="BM682" s="69"/>
      <c r="BN682" s="69"/>
      <c r="BO682" s="69"/>
      <c r="BP682" s="69"/>
      <c r="BQ682" s="69"/>
      <c r="BR682" s="8"/>
    </row>
    <row r="683" ht="12.0" customHeight="1">
      <c r="A683" s="69"/>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69"/>
      <c r="AS683" s="69"/>
      <c r="AT683" s="69"/>
      <c r="AU683" s="69"/>
      <c r="AV683" s="69"/>
      <c r="AW683" s="69"/>
      <c r="AX683" s="69"/>
      <c r="AY683" s="69"/>
      <c r="AZ683" s="69"/>
      <c r="BA683" s="69"/>
      <c r="BB683" s="69"/>
      <c r="BC683" s="69"/>
      <c r="BD683" s="69"/>
      <c r="BE683" s="69"/>
      <c r="BF683" s="69"/>
      <c r="BG683" s="69"/>
      <c r="BH683" s="69"/>
      <c r="BI683" s="69"/>
      <c r="BJ683" s="69"/>
      <c r="BK683" s="69"/>
      <c r="BL683" s="69"/>
      <c r="BM683" s="69"/>
      <c r="BN683" s="69"/>
      <c r="BO683" s="69"/>
      <c r="BP683" s="69"/>
      <c r="BQ683" s="69"/>
      <c r="BR683" s="8"/>
    </row>
    <row r="684" ht="12.0" customHeight="1">
      <c r="A684" s="69"/>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69"/>
      <c r="AS684" s="69"/>
      <c r="AT684" s="69"/>
      <c r="AU684" s="69"/>
      <c r="AV684" s="69"/>
      <c r="AW684" s="69"/>
      <c r="AX684" s="69"/>
      <c r="AY684" s="69"/>
      <c r="AZ684" s="69"/>
      <c r="BA684" s="69"/>
      <c r="BB684" s="69"/>
      <c r="BC684" s="69"/>
      <c r="BD684" s="69"/>
      <c r="BE684" s="69"/>
      <c r="BF684" s="69"/>
      <c r="BG684" s="69"/>
      <c r="BH684" s="69"/>
      <c r="BI684" s="69"/>
      <c r="BJ684" s="69"/>
      <c r="BK684" s="69"/>
      <c r="BL684" s="69"/>
      <c r="BM684" s="69"/>
      <c r="BN684" s="69"/>
      <c r="BO684" s="69"/>
      <c r="BP684" s="69"/>
      <c r="BQ684" s="69"/>
      <c r="BR684" s="8"/>
    </row>
    <row r="685" ht="12.0" customHeight="1">
      <c r="A685" s="69"/>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69"/>
      <c r="AS685" s="69"/>
      <c r="AT685" s="69"/>
      <c r="AU685" s="69"/>
      <c r="AV685" s="69"/>
      <c r="AW685" s="69"/>
      <c r="AX685" s="69"/>
      <c r="AY685" s="69"/>
      <c r="AZ685" s="69"/>
      <c r="BA685" s="69"/>
      <c r="BB685" s="69"/>
      <c r="BC685" s="69"/>
      <c r="BD685" s="69"/>
      <c r="BE685" s="69"/>
      <c r="BF685" s="69"/>
      <c r="BG685" s="69"/>
      <c r="BH685" s="69"/>
      <c r="BI685" s="69"/>
      <c r="BJ685" s="69"/>
      <c r="BK685" s="69"/>
      <c r="BL685" s="69"/>
      <c r="BM685" s="69"/>
      <c r="BN685" s="69"/>
      <c r="BO685" s="69"/>
      <c r="BP685" s="69"/>
      <c r="BQ685" s="69"/>
      <c r="BR685" s="8"/>
    </row>
    <row r="686" ht="12.0" customHeight="1">
      <c r="A686" s="69"/>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69"/>
      <c r="AS686" s="69"/>
      <c r="AT686" s="69"/>
      <c r="AU686" s="69"/>
      <c r="AV686" s="69"/>
      <c r="AW686" s="69"/>
      <c r="AX686" s="69"/>
      <c r="AY686" s="69"/>
      <c r="AZ686" s="69"/>
      <c r="BA686" s="69"/>
      <c r="BB686" s="69"/>
      <c r="BC686" s="69"/>
      <c r="BD686" s="69"/>
      <c r="BE686" s="69"/>
      <c r="BF686" s="69"/>
      <c r="BG686" s="69"/>
      <c r="BH686" s="69"/>
      <c r="BI686" s="69"/>
      <c r="BJ686" s="69"/>
      <c r="BK686" s="69"/>
      <c r="BL686" s="69"/>
      <c r="BM686" s="69"/>
      <c r="BN686" s="69"/>
      <c r="BO686" s="69"/>
      <c r="BP686" s="69"/>
      <c r="BQ686" s="69"/>
      <c r="BR686" s="8"/>
    </row>
    <row r="687" ht="12.0" customHeight="1">
      <c r="A687" s="69"/>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69"/>
      <c r="AS687" s="69"/>
      <c r="AT687" s="69"/>
      <c r="AU687" s="69"/>
      <c r="AV687" s="69"/>
      <c r="AW687" s="69"/>
      <c r="AX687" s="69"/>
      <c r="AY687" s="69"/>
      <c r="AZ687" s="69"/>
      <c r="BA687" s="69"/>
      <c r="BB687" s="69"/>
      <c r="BC687" s="69"/>
      <c r="BD687" s="69"/>
      <c r="BE687" s="69"/>
      <c r="BF687" s="69"/>
      <c r="BG687" s="69"/>
      <c r="BH687" s="69"/>
      <c r="BI687" s="69"/>
      <c r="BJ687" s="69"/>
      <c r="BK687" s="69"/>
      <c r="BL687" s="69"/>
      <c r="BM687" s="69"/>
      <c r="BN687" s="69"/>
      <c r="BO687" s="69"/>
      <c r="BP687" s="69"/>
      <c r="BQ687" s="69"/>
      <c r="BR687" s="8"/>
    </row>
    <row r="688" ht="12.0" customHeight="1">
      <c r="A688" s="69"/>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69"/>
      <c r="AS688" s="69"/>
      <c r="AT688" s="69"/>
      <c r="AU688" s="69"/>
      <c r="AV688" s="69"/>
      <c r="AW688" s="69"/>
      <c r="AX688" s="69"/>
      <c r="AY688" s="69"/>
      <c r="AZ688" s="69"/>
      <c r="BA688" s="69"/>
      <c r="BB688" s="69"/>
      <c r="BC688" s="69"/>
      <c r="BD688" s="69"/>
      <c r="BE688" s="69"/>
      <c r="BF688" s="69"/>
      <c r="BG688" s="69"/>
      <c r="BH688" s="69"/>
      <c r="BI688" s="69"/>
      <c r="BJ688" s="69"/>
      <c r="BK688" s="69"/>
      <c r="BL688" s="69"/>
      <c r="BM688" s="69"/>
      <c r="BN688" s="69"/>
      <c r="BO688" s="69"/>
      <c r="BP688" s="69"/>
      <c r="BQ688" s="69"/>
      <c r="BR688" s="8"/>
    </row>
    <row r="689" ht="12.0" customHeight="1">
      <c r="A689" s="69"/>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69"/>
      <c r="AS689" s="69"/>
      <c r="AT689" s="69"/>
      <c r="AU689" s="69"/>
      <c r="AV689" s="69"/>
      <c r="AW689" s="69"/>
      <c r="AX689" s="69"/>
      <c r="AY689" s="69"/>
      <c r="AZ689" s="69"/>
      <c r="BA689" s="69"/>
      <c r="BB689" s="69"/>
      <c r="BC689" s="69"/>
      <c r="BD689" s="69"/>
      <c r="BE689" s="69"/>
      <c r="BF689" s="69"/>
      <c r="BG689" s="69"/>
      <c r="BH689" s="69"/>
      <c r="BI689" s="69"/>
      <c r="BJ689" s="69"/>
      <c r="BK689" s="69"/>
      <c r="BL689" s="69"/>
      <c r="BM689" s="69"/>
      <c r="BN689" s="69"/>
      <c r="BO689" s="69"/>
      <c r="BP689" s="69"/>
      <c r="BQ689" s="69"/>
      <c r="BR689" s="8"/>
    </row>
    <row r="690" ht="12.0" customHeight="1">
      <c r="A690" s="69"/>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69"/>
      <c r="AS690" s="69"/>
      <c r="AT690" s="69"/>
      <c r="AU690" s="69"/>
      <c r="AV690" s="69"/>
      <c r="AW690" s="69"/>
      <c r="AX690" s="69"/>
      <c r="AY690" s="69"/>
      <c r="AZ690" s="69"/>
      <c r="BA690" s="69"/>
      <c r="BB690" s="69"/>
      <c r="BC690" s="69"/>
      <c r="BD690" s="69"/>
      <c r="BE690" s="69"/>
      <c r="BF690" s="69"/>
      <c r="BG690" s="69"/>
      <c r="BH690" s="69"/>
      <c r="BI690" s="69"/>
      <c r="BJ690" s="69"/>
      <c r="BK690" s="69"/>
      <c r="BL690" s="69"/>
      <c r="BM690" s="69"/>
      <c r="BN690" s="69"/>
      <c r="BO690" s="69"/>
      <c r="BP690" s="69"/>
      <c r="BQ690" s="69"/>
      <c r="BR690" s="8"/>
    </row>
    <row r="691" ht="12.0" customHeight="1">
      <c r="A691" s="69"/>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69"/>
      <c r="AS691" s="69"/>
      <c r="AT691" s="69"/>
      <c r="AU691" s="69"/>
      <c r="AV691" s="69"/>
      <c r="AW691" s="69"/>
      <c r="AX691" s="69"/>
      <c r="AY691" s="69"/>
      <c r="AZ691" s="69"/>
      <c r="BA691" s="69"/>
      <c r="BB691" s="69"/>
      <c r="BC691" s="69"/>
      <c r="BD691" s="69"/>
      <c r="BE691" s="69"/>
      <c r="BF691" s="69"/>
      <c r="BG691" s="69"/>
      <c r="BH691" s="69"/>
      <c r="BI691" s="69"/>
      <c r="BJ691" s="69"/>
      <c r="BK691" s="69"/>
      <c r="BL691" s="69"/>
      <c r="BM691" s="69"/>
      <c r="BN691" s="69"/>
      <c r="BO691" s="69"/>
      <c r="BP691" s="69"/>
      <c r="BQ691" s="69"/>
      <c r="BR691" s="8"/>
    </row>
    <row r="692" ht="12.0" customHeight="1">
      <c r="A692" s="69"/>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69"/>
      <c r="AS692" s="69"/>
      <c r="AT692" s="69"/>
      <c r="AU692" s="69"/>
      <c r="AV692" s="69"/>
      <c r="AW692" s="69"/>
      <c r="AX692" s="69"/>
      <c r="AY692" s="69"/>
      <c r="AZ692" s="69"/>
      <c r="BA692" s="69"/>
      <c r="BB692" s="69"/>
      <c r="BC692" s="69"/>
      <c r="BD692" s="69"/>
      <c r="BE692" s="69"/>
      <c r="BF692" s="69"/>
      <c r="BG692" s="69"/>
      <c r="BH692" s="69"/>
      <c r="BI692" s="69"/>
      <c r="BJ692" s="69"/>
      <c r="BK692" s="69"/>
      <c r="BL692" s="69"/>
      <c r="BM692" s="69"/>
      <c r="BN692" s="69"/>
      <c r="BO692" s="69"/>
      <c r="BP692" s="69"/>
      <c r="BQ692" s="69"/>
      <c r="BR692" s="8"/>
    </row>
    <row r="693" ht="12.0" customHeight="1">
      <c r="A693" s="69"/>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69"/>
      <c r="AS693" s="69"/>
      <c r="AT693" s="69"/>
      <c r="AU693" s="69"/>
      <c r="AV693" s="69"/>
      <c r="AW693" s="69"/>
      <c r="AX693" s="69"/>
      <c r="AY693" s="69"/>
      <c r="AZ693" s="69"/>
      <c r="BA693" s="69"/>
      <c r="BB693" s="69"/>
      <c r="BC693" s="69"/>
      <c r="BD693" s="69"/>
      <c r="BE693" s="69"/>
      <c r="BF693" s="69"/>
      <c r="BG693" s="69"/>
      <c r="BH693" s="69"/>
      <c r="BI693" s="69"/>
      <c r="BJ693" s="69"/>
      <c r="BK693" s="69"/>
      <c r="BL693" s="69"/>
      <c r="BM693" s="69"/>
      <c r="BN693" s="69"/>
      <c r="BO693" s="69"/>
      <c r="BP693" s="69"/>
      <c r="BQ693" s="69"/>
      <c r="BR693" s="8"/>
    </row>
    <row r="694" ht="12.0" customHeight="1">
      <c r="A694" s="69"/>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69"/>
      <c r="AS694" s="69"/>
      <c r="AT694" s="69"/>
      <c r="AU694" s="69"/>
      <c r="AV694" s="69"/>
      <c r="AW694" s="69"/>
      <c r="AX694" s="69"/>
      <c r="AY694" s="69"/>
      <c r="AZ694" s="69"/>
      <c r="BA694" s="69"/>
      <c r="BB694" s="69"/>
      <c r="BC694" s="69"/>
      <c r="BD694" s="69"/>
      <c r="BE694" s="69"/>
      <c r="BF694" s="69"/>
      <c r="BG694" s="69"/>
      <c r="BH694" s="69"/>
      <c r="BI694" s="69"/>
      <c r="BJ694" s="69"/>
      <c r="BK694" s="69"/>
      <c r="BL694" s="69"/>
      <c r="BM694" s="69"/>
      <c r="BN694" s="69"/>
      <c r="BO694" s="69"/>
      <c r="BP694" s="69"/>
      <c r="BQ694" s="69"/>
      <c r="BR694" s="8"/>
    </row>
    <row r="695" ht="12.0" customHeight="1">
      <c r="A695" s="69"/>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69"/>
      <c r="AS695" s="69"/>
      <c r="AT695" s="69"/>
      <c r="AU695" s="69"/>
      <c r="AV695" s="69"/>
      <c r="AW695" s="69"/>
      <c r="AX695" s="69"/>
      <c r="AY695" s="69"/>
      <c r="AZ695" s="69"/>
      <c r="BA695" s="69"/>
      <c r="BB695" s="69"/>
      <c r="BC695" s="69"/>
      <c r="BD695" s="69"/>
      <c r="BE695" s="69"/>
      <c r="BF695" s="69"/>
      <c r="BG695" s="69"/>
      <c r="BH695" s="69"/>
      <c r="BI695" s="69"/>
      <c r="BJ695" s="69"/>
      <c r="BK695" s="69"/>
      <c r="BL695" s="69"/>
      <c r="BM695" s="69"/>
      <c r="BN695" s="69"/>
      <c r="BO695" s="69"/>
      <c r="BP695" s="69"/>
      <c r="BQ695" s="69"/>
      <c r="BR695" s="8"/>
    </row>
    <row r="696" ht="12.0" customHeight="1">
      <c r="A696" s="69"/>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69"/>
      <c r="AS696" s="69"/>
      <c r="AT696" s="69"/>
      <c r="AU696" s="69"/>
      <c r="AV696" s="69"/>
      <c r="AW696" s="69"/>
      <c r="AX696" s="69"/>
      <c r="AY696" s="69"/>
      <c r="AZ696" s="69"/>
      <c r="BA696" s="69"/>
      <c r="BB696" s="69"/>
      <c r="BC696" s="69"/>
      <c r="BD696" s="69"/>
      <c r="BE696" s="69"/>
      <c r="BF696" s="69"/>
      <c r="BG696" s="69"/>
      <c r="BH696" s="69"/>
      <c r="BI696" s="69"/>
      <c r="BJ696" s="69"/>
      <c r="BK696" s="69"/>
      <c r="BL696" s="69"/>
      <c r="BM696" s="69"/>
      <c r="BN696" s="69"/>
      <c r="BO696" s="69"/>
      <c r="BP696" s="69"/>
      <c r="BQ696" s="69"/>
      <c r="BR696" s="8"/>
    </row>
    <row r="697" ht="12.0" customHeight="1">
      <c r="A697" s="69"/>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69"/>
      <c r="AS697" s="69"/>
      <c r="AT697" s="69"/>
      <c r="AU697" s="69"/>
      <c r="AV697" s="69"/>
      <c r="AW697" s="69"/>
      <c r="AX697" s="69"/>
      <c r="AY697" s="69"/>
      <c r="AZ697" s="69"/>
      <c r="BA697" s="69"/>
      <c r="BB697" s="69"/>
      <c r="BC697" s="69"/>
      <c r="BD697" s="69"/>
      <c r="BE697" s="69"/>
      <c r="BF697" s="69"/>
      <c r="BG697" s="69"/>
      <c r="BH697" s="69"/>
      <c r="BI697" s="69"/>
      <c r="BJ697" s="69"/>
      <c r="BK697" s="69"/>
      <c r="BL697" s="69"/>
      <c r="BM697" s="69"/>
      <c r="BN697" s="69"/>
      <c r="BO697" s="69"/>
      <c r="BP697" s="69"/>
      <c r="BQ697" s="69"/>
      <c r="BR697" s="8"/>
    </row>
    <row r="698" ht="12.0" customHeight="1">
      <c r="A698" s="69"/>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69"/>
      <c r="AS698" s="69"/>
      <c r="AT698" s="69"/>
      <c r="AU698" s="69"/>
      <c r="AV698" s="69"/>
      <c r="AW698" s="69"/>
      <c r="AX698" s="69"/>
      <c r="AY698" s="69"/>
      <c r="AZ698" s="69"/>
      <c r="BA698" s="69"/>
      <c r="BB698" s="69"/>
      <c r="BC698" s="69"/>
      <c r="BD698" s="69"/>
      <c r="BE698" s="69"/>
      <c r="BF698" s="69"/>
      <c r="BG698" s="69"/>
      <c r="BH698" s="69"/>
      <c r="BI698" s="69"/>
      <c r="BJ698" s="69"/>
      <c r="BK698" s="69"/>
      <c r="BL698" s="69"/>
      <c r="BM698" s="69"/>
      <c r="BN698" s="69"/>
      <c r="BO698" s="69"/>
      <c r="BP698" s="69"/>
      <c r="BQ698" s="69"/>
      <c r="BR698" s="8"/>
    </row>
    <row r="699" ht="12.0" customHeight="1">
      <c r="A699" s="69"/>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69"/>
      <c r="AS699" s="69"/>
      <c r="AT699" s="69"/>
      <c r="AU699" s="69"/>
      <c r="AV699" s="69"/>
      <c r="AW699" s="69"/>
      <c r="AX699" s="69"/>
      <c r="AY699" s="69"/>
      <c r="AZ699" s="69"/>
      <c r="BA699" s="69"/>
      <c r="BB699" s="69"/>
      <c r="BC699" s="69"/>
      <c r="BD699" s="69"/>
      <c r="BE699" s="69"/>
      <c r="BF699" s="69"/>
      <c r="BG699" s="69"/>
      <c r="BH699" s="69"/>
      <c r="BI699" s="69"/>
      <c r="BJ699" s="69"/>
      <c r="BK699" s="69"/>
      <c r="BL699" s="69"/>
      <c r="BM699" s="69"/>
      <c r="BN699" s="69"/>
      <c r="BO699" s="69"/>
      <c r="BP699" s="69"/>
      <c r="BQ699" s="69"/>
      <c r="BR699" s="8"/>
    </row>
    <row r="700" ht="12.0" customHeight="1">
      <c r="A700" s="69"/>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69"/>
      <c r="AS700" s="69"/>
      <c r="AT700" s="69"/>
      <c r="AU700" s="69"/>
      <c r="AV700" s="69"/>
      <c r="AW700" s="69"/>
      <c r="AX700" s="69"/>
      <c r="AY700" s="69"/>
      <c r="AZ700" s="69"/>
      <c r="BA700" s="69"/>
      <c r="BB700" s="69"/>
      <c r="BC700" s="69"/>
      <c r="BD700" s="69"/>
      <c r="BE700" s="69"/>
      <c r="BF700" s="69"/>
      <c r="BG700" s="69"/>
      <c r="BH700" s="69"/>
      <c r="BI700" s="69"/>
      <c r="BJ700" s="69"/>
      <c r="BK700" s="69"/>
      <c r="BL700" s="69"/>
      <c r="BM700" s="69"/>
      <c r="BN700" s="69"/>
      <c r="BO700" s="69"/>
      <c r="BP700" s="69"/>
      <c r="BQ700" s="69"/>
      <c r="BR700" s="8"/>
    </row>
    <row r="701" ht="12.0" customHeight="1">
      <c r="A701" s="69"/>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69"/>
      <c r="AS701" s="69"/>
      <c r="AT701" s="69"/>
      <c r="AU701" s="69"/>
      <c r="AV701" s="69"/>
      <c r="AW701" s="69"/>
      <c r="AX701" s="69"/>
      <c r="AY701" s="69"/>
      <c r="AZ701" s="69"/>
      <c r="BA701" s="69"/>
      <c r="BB701" s="69"/>
      <c r="BC701" s="69"/>
      <c r="BD701" s="69"/>
      <c r="BE701" s="69"/>
      <c r="BF701" s="69"/>
      <c r="BG701" s="69"/>
      <c r="BH701" s="69"/>
      <c r="BI701" s="69"/>
      <c r="BJ701" s="69"/>
      <c r="BK701" s="69"/>
      <c r="BL701" s="69"/>
      <c r="BM701" s="69"/>
      <c r="BN701" s="69"/>
      <c r="BO701" s="69"/>
      <c r="BP701" s="69"/>
      <c r="BQ701" s="69"/>
      <c r="BR701" s="8"/>
    </row>
    <row r="702" ht="12.0" customHeight="1">
      <c r="A702" s="69"/>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69"/>
      <c r="AS702" s="69"/>
      <c r="AT702" s="69"/>
      <c r="AU702" s="69"/>
      <c r="AV702" s="69"/>
      <c r="AW702" s="69"/>
      <c r="AX702" s="69"/>
      <c r="AY702" s="69"/>
      <c r="AZ702" s="69"/>
      <c r="BA702" s="69"/>
      <c r="BB702" s="69"/>
      <c r="BC702" s="69"/>
      <c r="BD702" s="69"/>
      <c r="BE702" s="69"/>
      <c r="BF702" s="69"/>
      <c r="BG702" s="69"/>
      <c r="BH702" s="69"/>
      <c r="BI702" s="69"/>
      <c r="BJ702" s="69"/>
      <c r="BK702" s="69"/>
      <c r="BL702" s="69"/>
      <c r="BM702" s="69"/>
      <c r="BN702" s="69"/>
      <c r="BO702" s="69"/>
      <c r="BP702" s="69"/>
      <c r="BQ702" s="69"/>
      <c r="BR702" s="8"/>
    </row>
    <row r="703" ht="12.0" customHeight="1">
      <c r="A703" s="69"/>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69"/>
      <c r="AS703" s="69"/>
      <c r="AT703" s="69"/>
      <c r="AU703" s="69"/>
      <c r="AV703" s="69"/>
      <c r="AW703" s="69"/>
      <c r="AX703" s="69"/>
      <c r="AY703" s="69"/>
      <c r="AZ703" s="69"/>
      <c r="BA703" s="69"/>
      <c r="BB703" s="69"/>
      <c r="BC703" s="69"/>
      <c r="BD703" s="69"/>
      <c r="BE703" s="69"/>
      <c r="BF703" s="69"/>
      <c r="BG703" s="69"/>
      <c r="BH703" s="69"/>
      <c r="BI703" s="69"/>
      <c r="BJ703" s="69"/>
      <c r="BK703" s="69"/>
      <c r="BL703" s="69"/>
      <c r="BM703" s="69"/>
      <c r="BN703" s="69"/>
      <c r="BO703" s="69"/>
      <c r="BP703" s="69"/>
      <c r="BQ703" s="69"/>
      <c r="BR703" s="8"/>
    </row>
    <row r="704" ht="12.0" customHeight="1">
      <c r="A704" s="69"/>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69"/>
      <c r="AS704" s="69"/>
      <c r="AT704" s="69"/>
      <c r="AU704" s="69"/>
      <c r="AV704" s="69"/>
      <c r="AW704" s="69"/>
      <c r="AX704" s="69"/>
      <c r="AY704" s="69"/>
      <c r="AZ704" s="69"/>
      <c r="BA704" s="69"/>
      <c r="BB704" s="69"/>
      <c r="BC704" s="69"/>
      <c r="BD704" s="69"/>
      <c r="BE704" s="69"/>
      <c r="BF704" s="69"/>
      <c r="BG704" s="69"/>
      <c r="BH704" s="69"/>
      <c r="BI704" s="69"/>
      <c r="BJ704" s="69"/>
      <c r="BK704" s="69"/>
      <c r="BL704" s="69"/>
      <c r="BM704" s="69"/>
      <c r="BN704" s="69"/>
      <c r="BO704" s="69"/>
      <c r="BP704" s="69"/>
      <c r="BQ704" s="69"/>
      <c r="BR704" s="8"/>
    </row>
    <row r="705" ht="12.0" customHeight="1">
      <c r="A705" s="69"/>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69"/>
      <c r="AS705" s="69"/>
      <c r="AT705" s="69"/>
      <c r="AU705" s="69"/>
      <c r="AV705" s="69"/>
      <c r="AW705" s="69"/>
      <c r="AX705" s="69"/>
      <c r="AY705" s="69"/>
      <c r="AZ705" s="69"/>
      <c r="BA705" s="69"/>
      <c r="BB705" s="69"/>
      <c r="BC705" s="69"/>
      <c r="BD705" s="69"/>
      <c r="BE705" s="69"/>
      <c r="BF705" s="69"/>
      <c r="BG705" s="69"/>
      <c r="BH705" s="69"/>
      <c r="BI705" s="69"/>
      <c r="BJ705" s="69"/>
      <c r="BK705" s="69"/>
      <c r="BL705" s="69"/>
      <c r="BM705" s="69"/>
      <c r="BN705" s="69"/>
      <c r="BO705" s="69"/>
      <c r="BP705" s="69"/>
      <c r="BQ705" s="69"/>
      <c r="BR705" s="8"/>
    </row>
    <row r="706" ht="12.0" customHeight="1">
      <c r="A706" s="69"/>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69"/>
      <c r="AS706" s="69"/>
      <c r="AT706" s="69"/>
      <c r="AU706" s="69"/>
      <c r="AV706" s="69"/>
      <c r="AW706" s="69"/>
      <c r="AX706" s="69"/>
      <c r="AY706" s="69"/>
      <c r="AZ706" s="69"/>
      <c r="BA706" s="69"/>
      <c r="BB706" s="69"/>
      <c r="BC706" s="69"/>
      <c r="BD706" s="69"/>
      <c r="BE706" s="69"/>
      <c r="BF706" s="69"/>
      <c r="BG706" s="69"/>
      <c r="BH706" s="69"/>
      <c r="BI706" s="69"/>
      <c r="BJ706" s="69"/>
      <c r="BK706" s="69"/>
      <c r="BL706" s="69"/>
      <c r="BM706" s="69"/>
      <c r="BN706" s="69"/>
      <c r="BO706" s="69"/>
      <c r="BP706" s="69"/>
      <c r="BQ706" s="69"/>
      <c r="BR706" s="8"/>
    </row>
    <row r="707" ht="12.0" customHeight="1">
      <c r="A707" s="69"/>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69"/>
      <c r="AS707" s="69"/>
      <c r="AT707" s="69"/>
      <c r="AU707" s="69"/>
      <c r="AV707" s="69"/>
      <c r="AW707" s="69"/>
      <c r="AX707" s="69"/>
      <c r="AY707" s="69"/>
      <c r="AZ707" s="69"/>
      <c r="BA707" s="69"/>
      <c r="BB707" s="69"/>
      <c r="BC707" s="69"/>
      <c r="BD707" s="69"/>
      <c r="BE707" s="69"/>
      <c r="BF707" s="69"/>
      <c r="BG707" s="69"/>
      <c r="BH707" s="69"/>
      <c r="BI707" s="69"/>
      <c r="BJ707" s="69"/>
      <c r="BK707" s="69"/>
      <c r="BL707" s="69"/>
      <c r="BM707" s="69"/>
      <c r="BN707" s="69"/>
      <c r="BO707" s="69"/>
      <c r="BP707" s="69"/>
      <c r="BQ707" s="69"/>
      <c r="BR707" s="8"/>
    </row>
    <row r="708" ht="12.0" customHeight="1">
      <c r="A708" s="69"/>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69"/>
      <c r="AS708" s="69"/>
      <c r="AT708" s="69"/>
      <c r="AU708" s="69"/>
      <c r="AV708" s="69"/>
      <c r="AW708" s="69"/>
      <c r="AX708" s="69"/>
      <c r="AY708" s="69"/>
      <c r="AZ708" s="69"/>
      <c r="BA708" s="69"/>
      <c r="BB708" s="69"/>
      <c r="BC708" s="69"/>
      <c r="BD708" s="69"/>
      <c r="BE708" s="69"/>
      <c r="BF708" s="69"/>
      <c r="BG708" s="69"/>
      <c r="BH708" s="69"/>
      <c r="BI708" s="69"/>
      <c r="BJ708" s="69"/>
      <c r="BK708" s="69"/>
      <c r="BL708" s="69"/>
      <c r="BM708" s="69"/>
      <c r="BN708" s="69"/>
      <c r="BO708" s="69"/>
      <c r="BP708" s="69"/>
      <c r="BQ708" s="69"/>
      <c r="BR708" s="8"/>
    </row>
    <row r="709" ht="12.0" customHeight="1">
      <c r="A709" s="69"/>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69"/>
      <c r="AS709" s="69"/>
      <c r="AT709" s="69"/>
      <c r="AU709" s="69"/>
      <c r="AV709" s="69"/>
      <c r="AW709" s="69"/>
      <c r="AX709" s="69"/>
      <c r="AY709" s="69"/>
      <c r="AZ709" s="69"/>
      <c r="BA709" s="69"/>
      <c r="BB709" s="69"/>
      <c r="BC709" s="69"/>
      <c r="BD709" s="69"/>
      <c r="BE709" s="69"/>
      <c r="BF709" s="69"/>
      <c r="BG709" s="69"/>
      <c r="BH709" s="69"/>
      <c r="BI709" s="69"/>
      <c r="BJ709" s="69"/>
      <c r="BK709" s="69"/>
      <c r="BL709" s="69"/>
      <c r="BM709" s="69"/>
      <c r="BN709" s="69"/>
      <c r="BO709" s="69"/>
      <c r="BP709" s="69"/>
      <c r="BQ709" s="69"/>
      <c r="BR709" s="8"/>
    </row>
    <row r="710" ht="12.0" customHeight="1">
      <c r="A710" s="69"/>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69"/>
      <c r="AS710" s="69"/>
      <c r="AT710" s="69"/>
      <c r="AU710" s="69"/>
      <c r="AV710" s="69"/>
      <c r="AW710" s="69"/>
      <c r="AX710" s="69"/>
      <c r="AY710" s="69"/>
      <c r="AZ710" s="69"/>
      <c r="BA710" s="69"/>
      <c r="BB710" s="69"/>
      <c r="BC710" s="69"/>
      <c r="BD710" s="69"/>
      <c r="BE710" s="69"/>
      <c r="BF710" s="69"/>
      <c r="BG710" s="69"/>
      <c r="BH710" s="69"/>
      <c r="BI710" s="69"/>
      <c r="BJ710" s="69"/>
      <c r="BK710" s="69"/>
      <c r="BL710" s="69"/>
      <c r="BM710" s="69"/>
      <c r="BN710" s="69"/>
      <c r="BO710" s="69"/>
      <c r="BP710" s="69"/>
      <c r="BQ710" s="69"/>
      <c r="BR710" s="8"/>
    </row>
    <row r="711" ht="12.0" customHeight="1">
      <c r="A711" s="69"/>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69"/>
      <c r="AS711" s="69"/>
      <c r="AT711" s="69"/>
      <c r="AU711" s="69"/>
      <c r="AV711" s="69"/>
      <c r="AW711" s="69"/>
      <c r="AX711" s="69"/>
      <c r="AY711" s="69"/>
      <c r="AZ711" s="69"/>
      <c r="BA711" s="69"/>
      <c r="BB711" s="69"/>
      <c r="BC711" s="69"/>
      <c r="BD711" s="69"/>
      <c r="BE711" s="69"/>
      <c r="BF711" s="69"/>
      <c r="BG711" s="69"/>
      <c r="BH711" s="69"/>
      <c r="BI711" s="69"/>
      <c r="BJ711" s="69"/>
      <c r="BK711" s="69"/>
      <c r="BL711" s="69"/>
      <c r="BM711" s="69"/>
      <c r="BN711" s="69"/>
      <c r="BO711" s="69"/>
      <c r="BP711" s="69"/>
      <c r="BQ711" s="69"/>
      <c r="BR711" s="8"/>
    </row>
    <row r="712" ht="12.0" customHeight="1">
      <c r="A712" s="69"/>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69"/>
      <c r="AS712" s="69"/>
      <c r="AT712" s="69"/>
      <c r="AU712" s="69"/>
      <c r="AV712" s="69"/>
      <c r="AW712" s="69"/>
      <c r="AX712" s="69"/>
      <c r="AY712" s="69"/>
      <c r="AZ712" s="69"/>
      <c r="BA712" s="69"/>
      <c r="BB712" s="69"/>
      <c r="BC712" s="69"/>
      <c r="BD712" s="69"/>
      <c r="BE712" s="69"/>
      <c r="BF712" s="69"/>
      <c r="BG712" s="69"/>
      <c r="BH712" s="69"/>
      <c r="BI712" s="69"/>
      <c r="BJ712" s="69"/>
      <c r="BK712" s="69"/>
      <c r="BL712" s="69"/>
      <c r="BM712" s="69"/>
      <c r="BN712" s="69"/>
      <c r="BO712" s="69"/>
      <c r="BP712" s="69"/>
      <c r="BQ712" s="69"/>
      <c r="BR712" s="8"/>
    </row>
    <row r="713" ht="12.0" customHeight="1">
      <c r="A713" s="69"/>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69"/>
      <c r="AS713" s="69"/>
      <c r="AT713" s="69"/>
      <c r="AU713" s="69"/>
      <c r="AV713" s="69"/>
      <c r="AW713" s="69"/>
      <c r="AX713" s="69"/>
      <c r="AY713" s="69"/>
      <c r="AZ713" s="69"/>
      <c r="BA713" s="69"/>
      <c r="BB713" s="69"/>
      <c r="BC713" s="69"/>
      <c r="BD713" s="69"/>
      <c r="BE713" s="69"/>
      <c r="BF713" s="69"/>
      <c r="BG713" s="69"/>
      <c r="BH713" s="69"/>
      <c r="BI713" s="69"/>
      <c r="BJ713" s="69"/>
      <c r="BK713" s="69"/>
      <c r="BL713" s="69"/>
      <c r="BM713" s="69"/>
      <c r="BN713" s="69"/>
      <c r="BO713" s="69"/>
      <c r="BP713" s="69"/>
      <c r="BQ713" s="69"/>
      <c r="BR713" s="8"/>
    </row>
    <row r="714" ht="12.0" customHeight="1">
      <c r="A714" s="69"/>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69"/>
      <c r="AS714" s="69"/>
      <c r="AT714" s="69"/>
      <c r="AU714" s="69"/>
      <c r="AV714" s="69"/>
      <c r="AW714" s="69"/>
      <c r="AX714" s="69"/>
      <c r="AY714" s="69"/>
      <c r="AZ714" s="69"/>
      <c r="BA714" s="69"/>
      <c r="BB714" s="69"/>
      <c r="BC714" s="69"/>
      <c r="BD714" s="69"/>
      <c r="BE714" s="69"/>
      <c r="BF714" s="69"/>
      <c r="BG714" s="69"/>
      <c r="BH714" s="69"/>
      <c r="BI714" s="69"/>
      <c r="BJ714" s="69"/>
      <c r="BK714" s="69"/>
      <c r="BL714" s="69"/>
      <c r="BM714" s="69"/>
      <c r="BN714" s="69"/>
      <c r="BO714" s="69"/>
      <c r="BP714" s="69"/>
      <c r="BQ714" s="69"/>
      <c r="BR714" s="8"/>
    </row>
    <row r="715" ht="12.0" customHeight="1">
      <c r="A715" s="69"/>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69"/>
      <c r="AS715" s="69"/>
      <c r="AT715" s="69"/>
      <c r="AU715" s="69"/>
      <c r="AV715" s="69"/>
      <c r="AW715" s="69"/>
      <c r="AX715" s="69"/>
      <c r="AY715" s="69"/>
      <c r="AZ715" s="69"/>
      <c r="BA715" s="69"/>
      <c r="BB715" s="69"/>
      <c r="BC715" s="69"/>
      <c r="BD715" s="69"/>
      <c r="BE715" s="69"/>
      <c r="BF715" s="69"/>
      <c r="BG715" s="69"/>
      <c r="BH715" s="69"/>
      <c r="BI715" s="69"/>
      <c r="BJ715" s="69"/>
      <c r="BK715" s="69"/>
      <c r="BL715" s="69"/>
      <c r="BM715" s="69"/>
      <c r="BN715" s="69"/>
      <c r="BO715" s="69"/>
      <c r="BP715" s="69"/>
      <c r="BQ715" s="69"/>
      <c r="BR715" s="8"/>
    </row>
    <row r="716" ht="12.0" customHeight="1">
      <c r="A716" s="69"/>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69"/>
      <c r="AS716" s="69"/>
      <c r="AT716" s="69"/>
      <c r="AU716" s="69"/>
      <c r="AV716" s="69"/>
      <c r="AW716" s="69"/>
      <c r="AX716" s="69"/>
      <c r="AY716" s="69"/>
      <c r="AZ716" s="69"/>
      <c r="BA716" s="69"/>
      <c r="BB716" s="69"/>
      <c r="BC716" s="69"/>
      <c r="BD716" s="69"/>
      <c r="BE716" s="69"/>
      <c r="BF716" s="69"/>
      <c r="BG716" s="69"/>
      <c r="BH716" s="69"/>
      <c r="BI716" s="69"/>
      <c r="BJ716" s="69"/>
      <c r="BK716" s="69"/>
      <c r="BL716" s="69"/>
      <c r="BM716" s="69"/>
      <c r="BN716" s="69"/>
      <c r="BO716" s="69"/>
      <c r="BP716" s="69"/>
      <c r="BQ716" s="69"/>
      <c r="BR716" s="8"/>
    </row>
    <row r="717" ht="12.0" customHeight="1">
      <c r="A717" s="69"/>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69"/>
      <c r="AS717" s="69"/>
      <c r="AT717" s="69"/>
      <c r="AU717" s="69"/>
      <c r="AV717" s="69"/>
      <c r="AW717" s="69"/>
      <c r="AX717" s="69"/>
      <c r="AY717" s="69"/>
      <c r="AZ717" s="69"/>
      <c r="BA717" s="69"/>
      <c r="BB717" s="69"/>
      <c r="BC717" s="69"/>
      <c r="BD717" s="69"/>
      <c r="BE717" s="69"/>
      <c r="BF717" s="69"/>
      <c r="BG717" s="69"/>
      <c r="BH717" s="69"/>
      <c r="BI717" s="69"/>
      <c r="BJ717" s="69"/>
      <c r="BK717" s="69"/>
      <c r="BL717" s="69"/>
      <c r="BM717" s="69"/>
      <c r="BN717" s="69"/>
      <c r="BO717" s="69"/>
      <c r="BP717" s="69"/>
      <c r="BQ717" s="69"/>
      <c r="BR717" s="8"/>
    </row>
    <row r="718" ht="12.0" customHeight="1">
      <c r="A718" s="69"/>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69"/>
      <c r="AS718" s="69"/>
      <c r="AT718" s="69"/>
      <c r="AU718" s="69"/>
      <c r="AV718" s="69"/>
      <c r="AW718" s="69"/>
      <c r="AX718" s="69"/>
      <c r="AY718" s="69"/>
      <c r="AZ718" s="69"/>
      <c r="BA718" s="69"/>
      <c r="BB718" s="69"/>
      <c r="BC718" s="69"/>
      <c r="BD718" s="69"/>
      <c r="BE718" s="69"/>
      <c r="BF718" s="69"/>
      <c r="BG718" s="69"/>
      <c r="BH718" s="69"/>
      <c r="BI718" s="69"/>
      <c r="BJ718" s="69"/>
      <c r="BK718" s="69"/>
      <c r="BL718" s="69"/>
      <c r="BM718" s="69"/>
      <c r="BN718" s="69"/>
      <c r="BO718" s="69"/>
      <c r="BP718" s="69"/>
      <c r="BQ718" s="69"/>
      <c r="BR718" s="8"/>
    </row>
    <row r="719" ht="12.0" customHeight="1">
      <c r="A719" s="69"/>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69"/>
      <c r="AS719" s="69"/>
      <c r="AT719" s="69"/>
      <c r="AU719" s="69"/>
      <c r="AV719" s="69"/>
      <c r="AW719" s="69"/>
      <c r="AX719" s="69"/>
      <c r="AY719" s="69"/>
      <c r="AZ719" s="69"/>
      <c r="BA719" s="69"/>
      <c r="BB719" s="69"/>
      <c r="BC719" s="69"/>
      <c r="BD719" s="69"/>
      <c r="BE719" s="69"/>
      <c r="BF719" s="69"/>
      <c r="BG719" s="69"/>
      <c r="BH719" s="69"/>
      <c r="BI719" s="69"/>
      <c r="BJ719" s="69"/>
      <c r="BK719" s="69"/>
      <c r="BL719" s="69"/>
      <c r="BM719" s="69"/>
      <c r="BN719" s="69"/>
      <c r="BO719" s="69"/>
      <c r="BP719" s="69"/>
      <c r="BQ719" s="69"/>
      <c r="BR719" s="8"/>
    </row>
    <row r="720" ht="12.0" customHeight="1">
      <c r="A720" s="69"/>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69"/>
      <c r="AS720" s="69"/>
      <c r="AT720" s="69"/>
      <c r="AU720" s="69"/>
      <c r="AV720" s="69"/>
      <c r="AW720" s="69"/>
      <c r="AX720" s="69"/>
      <c r="AY720" s="69"/>
      <c r="AZ720" s="69"/>
      <c r="BA720" s="69"/>
      <c r="BB720" s="69"/>
      <c r="BC720" s="69"/>
      <c r="BD720" s="69"/>
      <c r="BE720" s="69"/>
      <c r="BF720" s="69"/>
      <c r="BG720" s="69"/>
      <c r="BH720" s="69"/>
      <c r="BI720" s="69"/>
      <c r="BJ720" s="69"/>
      <c r="BK720" s="69"/>
      <c r="BL720" s="69"/>
      <c r="BM720" s="69"/>
      <c r="BN720" s="69"/>
      <c r="BO720" s="69"/>
      <c r="BP720" s="69"/>
      <c r="BQ720" s="69"/>
      <c r="BR720" s="8"/>
    </row>
    <row r="721" ht="12.0" customHeight="1">
      <c r="A721" s="69"/>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69"/>
      <c r="AS721" s="69"/>
      <c r="AT721" s="69"/>
      <c r="AU721" s="69"/>
      <c r="AV721" s="69"/>
      <c r="AW721" s="69"/>
      <c r="AX721" s="69"/>
      <c r="AY721" s="69"/>
      <c r="AZ721" s="69"/>
      <c r="BA721" s="69"/>
      <c r="BB721" s="69"/>
      <c r="BC721" s="69"/>
      <c r="BD721" s="69"/>
      <c r="BE721" s="69"/>
      <c r="BF721" s="69"/>
      <c r="BG721" s="69"/>
      <c r="BH721" s="69"/>
      <c r="BI721" s="69"/>
      <c r="BJ721" s="69"/>
      <c r="BK721" s="69"/>
      <c r="BL721" s="69"/>
      <c r="BM721" s="69"/>
      <c r="BN721" s="69"/>
      <c r="BO721" s="69"/>
      <c r="BP721" s="69"/>
      <c r="BQ721" s="69"/>
      <c r="BR721" s="8"/>
    </row>
    <row r="722" ht="12.0" customHeight="1">
      <c r="A722" s="69"/>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69"/>
      <c r="AS722" s="69"/>
      <c r="AT722" s="69"/>
      <c r="AU722" s="69"/>
      <c r="AV722" s="69"/>
      <c r="AW722" s="69"/>
      <c r="AX722" s="69"/>
      <c r="AY722" s="69"/>
      <c r="AZ722" s="69"/>
      <c r="BA722" s="69"/>
      <c r="BB722" s="69"/>
      <c r="BC722" s="69"/>
      <c r="BD722" s="69"/>
      <c r="BE722" s="69"/>
      <c r="BF722" s="69"/>
      <c r="BG722" s="69"/>
      <c r="BH722" s="69"/>
      <c r="BI722" s="69"/>
      <c r="BJ722" s="69"/>
      <c r="BK722" s="69"/>
      <c r="BL722" s="69"/>
      <c r="BM722" s="69"/>
      <c r="BN722" s="69"/>
      <c r="BO722" s="69"/>
      <c r="BP722" s="69"/>
      <c r="BQ722" s="69"/>
      <c r="BR722" s="8"/>
    </row>
    <row r="723" ht="12.0" customHeight="1">
      <c r="A723" s="69"/>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69"/>
      <c r="AS723" s="69"/>
      <c r="AT723" s="69"/>
      <c r="AU723" s="69"/>
      <c r="AV723" s="69"/>
      <c r="AW723" s="69"/>
      <c r="AX723" s="69"/>
      <c r="AY723" s="69"/>
      <c r="AZ723" s="69"/>
      <c r="BA723" s="69"/>
      <c r="BB723" s="69"/>
      <c r="BC723" s="69"/>
      <c r="BD723" s="69"/>
      <c r="BE723" s="69"/>
      <c r="BF723" s="69"/>
      <c r="BG723" s="69"/>
      <c r="BH723" s="69"/>
      <c r="BI723" s="69"/>
      <c r="BJ723" s="69"/>
      <c r="BK723" s="69"/>
      <c r="BL723" s="69"/>
      <c r="BM723" s="69"/>
      <c r="BN723" s="69"/>
      <c r="BO723" s="69"/>
      <c r="BP723" s="69"/>
      <c r="BQ723" s="69"/>
      <c r="BR723" s="8"/>
    </row>
    <row r="724" ht="12.0" customHeight="1">
      <c r="A724" s="69"/>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69"/>
      <c r="AS724" s="69"/>
      <c r="AT724" s="69"/>
      <c r="AU724" s="69"/>
      <c r="AV724" s="69"/>
      <c r="AW724" s="69"/>
      <c r="AX724" s="69"/>
      <c r="AY724" s="69"/>
      <c r="AZ724" s="69"/>
      <c r="BA724" s="69"/>
      <c r="BB724" s="69"/>
      <c r="BC724" s="69"/>
      <c r="BD724" s="69"/>
      <c r="BE724" s="69"/>
      <c r="BF724" s="69"/>
      <c r="BG724" s="69"/>
      <c r="BH724" s="69"/>
      <c r="BI724" s="69"/>
      <c r="BJ724" s="69"/>
      <c r="BK724" s="69"/>
      <c r="BL724" s="69"/>
      <c r="BM724" s="69"/>
      <c r="BN724" s="69"/>
      <c r="BO724" s="69"/>
      <c r="BP724" s="69"/>
      <c r="BQ724" s="69"/>
      <c r="BR724" s="8"/>
    </row>
    <row r="725" ht="12.0" customHeight="1">
      <c r="A725" s="69"/>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69"/>
      <c r="AS725" s="69"/>
      <c r="AT725" s="69"/>
      <c r="AU725" s="69"/>
      <c r="AV725" s="69"/>
      <c r="AW725" s="69"/>
      <c r="AX725" s="69"/>
      <c r="AY725" s="69"/>
      <c r="AZ725" s="69"/>
      <c r="BA725" s="69"/>
      <c r="BB725" s="69"/>
      <c r="BC725" s="69"/>
      <c r="BD725" s="69"/>
      <c r="BE725" s="69"/>
      <c r="BF725" s="69"/>
      <c r="BG725" s="69"/>
      <c r="BH725" s="69"/>
      <c r="BI725" s="69"/>
      <c r="BJ725" s="69"/>
      <c r="BK725" s="69"/>
      <c r="BL725" s="69"/>
      <c r="BM725" s="69"/>
      <c r="BN725" s="69"/>
      <c r="BO725" s="69"/>
      <c r="BP725" s="69"/>
      <c r="BQ725" s="69"/>
      <c r="BR725" s="8"/>
    </row>
    <row r="726" ht="12.0" customHeight="1">
      <c r="A726" s="69"/>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69"/>
      <c r="AS726" s="69"/>
      <c r="AT726" s="69"/>
      <c r="AU726" s="69"/>
      <c r="AV726" s="69"/>
      <c r="AW726" s="69"/>
      <c r="AX726" s="69"/>
      <c r="AY726" s="69"/>
      <c r="AZ726" s="69"/>
      <c r="BA726" s="69"/>
      <c r="BB726" s="69"/>
      <c r="BC726" s="69"/>
      <c r="BD726" s="69"/>
      <c r="BE726" s="69"/>
      <c r="BF726" s="69"/>
      <c r="BG726" s="69"/>
      <c r="BH726" s="69"/>
      <c r="BI726" s="69"/>
      <c r="BJ726" s="69"/>
      <c r="BK726" s="69"/>
      <c r="BL726" s="69"/>
      <c r="BM726" s="69"/>
      <c r="BN726" s="69"/>
      <c r="BO726" s="69"/>
      <c r="BP726" s="69"/>
      <c r="BQ726" s="69"/>
      <c r="BR726" s="8"/>
    </row>
    <row r="727" ht="12.0" customHeight="1">
      <c r="A727" s="69"/>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69"/>
      <c r="AS727" s="69"/>
      <c r="AT727" s="69"/>
      <c r="AU727" s="69"/>
      <c r="AV727" s="69"/>
      <c r="AW727" s="69"/>
      <c r="AX727" s="69"/>
      <c r="AY727" s="69"/>
      <c r="AZ727" s="69"/>
      <c r="BA727" s="69"/>
      <c r="BB727" s="69"/>
      <c r="BC727" s="69"/>
      <c r="BD727" s="69"/>
      <c r="BE727" s="69"/>
      <c r="BF727" s="69"/>
      <c r="BG727" s="69"/>
      <c r="BH727" s="69"/>
      <c r="BI727" s="69"/>
      <c r="BJ727" s="69"/>
      <c r="BK727" s="69"/>
      <c r="BL727" s="69"/>
      <c r="BM727" s="69"/>
      <c r="BN727" s="69"/>
      <c r="BO727" s="69"/>
      <c r="BP727" s="69"/>
      <c r="BQ727" s="69"/>
      <c r="BR727" s="8"/>
    </row>
    <row r="728" ht="12.0" customHeight="1">
      <c r="A728" s="69"/>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69"/>
      <c r="AS728" s="69"/>
      <c r="AT728" s="69"/>
      <c r="AU728" s="69"/>
      <c r="AV728" s="69"/>
      <c r="AW728" s="69"/>
      <c r="AX728" s="69"/>
      <c r="AY728" s="69"/>
      <c r="AZ728" s="69"/>
      <c r="BA728" s="69"/>
      <c r="BB728" s="69"/>
      <c r="BC728" s="69"/>
      <c r="BD728" s="69"/>
      <c r="BE728" s="69"/>
      <c r="BF728" s="69"/>
      <c r="BG728" s="69"/>
      <c r="BH728" s="69"/>
      <c r="BI728" s="69"/>
      <c r="BJ728" s="69"/>
      <c r="BK728" s="69"/>
      <c r="BL728" s="69"/>
      <c r="BM728" s="69"/>
      <c r="BN728" s="69"/>
      <c r="BO728" s="69"/>
      <c r="BP728" s="69"/>
      <c r="BQ728" s="69"/>
      <c r="BR728" s="8"/>
    </row>
    <row r="729" ht="12.0" customHeight="1">
      <c r="A729" s="69"/>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69"/>
      <c r="AS729" s="69"/>
      <c r="AT729" s="69"/>
      <c r="AU729" s="69"/>
      <c r="AV729" s="69"/>
      <c r="AW729" s="69"/>
      <c r="AX729" s="69"/>
      <c r="AY729" s="69"/>
      <c r="AZ729" s="69"/>
      <c r="BA729" s="69"/>
      <c r="BB729" s="69"/>
      <c r="BC729" s="69"/>
      <c r="BD729" s="69"/>
      <c r="BE729" s="69"/>
      <c r="BF729" s="69"/>
      <c r="BG729" s="69"/>
      <c r="BH729" s="69"/>
      <c r="BI729" s="69"/>
      <c r="BJ729" s="69"/>
      <c r="BK729" s="69"/>
      <c r="BL729" s="69"/>
      <c r="BM729" s="69"/>
      <c r="BN729" s="69"/>
      <c r="BO729" s="69"/>
      <c r="BP729" s="69"/>
      <c r="BQ729" s="69"/>
      <c r="BR729" s="8"/>
    </row>
    <row r="730" ht="12.0" customHeight="1">
      <c r="A730" s="69"/>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69"/>
      <c r="AS730" s="69"/>
      <c r="AT730" s="69"/>
      <c r="AU730" s="69"/>
      <c r="AV730" s="69"/>
      <c r="AW730" s="69"/>
      <c r="AX730" s="69"/>
      <c r="AY730" s="69"/>
      <c r="AZ730" s="69"/>
      <c r="BA730" s="69"/>
      <c r="BB730" s="69"/>
      <c r="BC730" s="69"/>
      <c r="BD730" s="69"/>
      <c r="BE730" s="69"/>
      <c r="BF730" s="69"/>
      <c r="BG730" s="69"/>
      <c r="BH730" s="69"/>
      <c r="BI730" s="69"/>
      <c r="BJ730" s="69"/>
      <c r="BK730" s="69"/>
      <c r="BL730" s="69"/>
      <c r="BM730" s="69"/>
      <c r="BN730" s="69"/>
      <c r="BO730" s="69"/>
      <c r="BP730" s="69"/>
      <c r="BQ730" s="69"/>
      <c r="BR730" s="8"/>
    </row>
    <row r="731" ht="12.0" customHeight="1">
      <c r="A731" s="69"/>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69"/>
      <c r="AS731" s="69"/>
      <c r="AT731" s="69"/>
      <c r="AU731" s="69"/>
      <c r="AV731" s="69"/>
      <c r="AW731" s="69"/>
      <c r="AX731" s="69"/>
      <c r="AY731" s="69"/>
      <c r="AZ731" s="69"/>
      <c r="BA731" s="69"/>
      <c r="BB731" s="69"/>
      <c r="BC731" s="69"/>
      <c r="BD731" s="69"/>
      <c r="BE731" s="69"/>
      <c r="BF731" s="69"/>
      <c r="BG731" s="69"/>
      <c r="BH731" s="69"/>
      <c r="BI731" s="69"/>
      <c r="BJ731" s="69"/>
      <c r="BK731" s="69"/>
      <c r="BL731" s="69"/>
      <c r="BM731" s="69"/>
      <c r="BN731" s="69"/>
      <c r="BO731" s="69"/>
      <c r="BP731" s="69"/>
      <c r="BQ731" s="69"/>
      <c r="BR731" s="8"/>
    </row>
    <row r="732" ht="12.0" customHeight="1">
      <c r="A732" s="69"/>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69"/>
      <c r="AS732" s="69"/>
      <c r="AT732" s="69"/>
      <c r="AU732" s="69"/>
      <c r="AV732" s="69"/>
      <c r="AW732" s="69"/>
      <c r="AX732" s="69"/>
      <c r="AY732" s="69"/>
      <c r="AZ732" s="69"/>
      <c r="BA732" s="69"/>
      <c r="BB732" s="69"/>
      <c r="BC732" s="69"/>
      <c r="BD732" s="69"/>
      <c r="BE732" s="69"/>
      <c r="BF732" s="69"/>
      <c r="BG732" s="69"/>
      <c r="BH732" s="69"/>
      <c r="BI732" s="69"/>
      <c r="BJ732" s="69"/>
      <c r="BK732" s="69"/>
      <c r="BL732" s="69"/>
      <c r="BM732" s="69"/>
      <c r="BN732" s="69"/>
      <c r="BO732" s="69"/>
      <c r="BP732" s="69"/>
      <c r="BQ732" s="69"/>
      <c r="BR732" s="8"/>
    </row>
    <row r="733" ht="12.0" customHeight="1">
      <c r="A733" s="69"/>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69"/>
      <c r="AS733" s="69"/>
      <c r="AT733" s="69"/>
      <c r="AU733" s="69"/>
      <c r="AV733" s="69"/>
      <c r="AW733" s="69"/>
      <c r="AX733" s="69"/>
      <c r="AY733" s="69"/>
      <c r="AZ733" s="69"/>
      <c r="BA733" s="69"/>
      <c r="BB733" s="69"/>
      <c r="BC733" s="69"/>
      <c r="BD733" s="69"/>
      <c r="BE733" s="69"/>
      <c r="BF733" s="69"/>
      <c r="BG733" s="69"/>
      <c r="BH733" s="69"/>
      <c r="BI733" s="69"/>
      <c r="BJ733" s="69"/>
      <c r="BK733" s="69"/>
      <c r="BL733" s="69"/>
      <c r="BM733" s="69"/>
      <c r="BN733" s="69"/>
      <c r="BO733" s="69"/>
      <c r="BP733" s="69"/>
      <c r="BQ733" s="69"/>
      <c r="BR733" s="8"/>
    </row>
    <row r="734" ht="12.0" customHeight="1">
      <c r="A734" s="69"/>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69"/>
      <c r="AS734" s="69"/>
      <c r="AT734" s="69"/>
      <c r="AU734" s="69"/>
      <c r="AV734" s="69"/>
      <c r="AW734" s="69"/>
      <c r="AX734" s="69"/>
      <c r="AY734" s="69"/>
      <c r="AZ734" s="69"/>
      <c r="BA734" s="69"/>
      <c r="BB734" s="69"/>
      <c r="BC734" s="69"/>
      <c r="BD734" s="69"/>
      <c r="BE734" s="69"/>
      <c r="BF734" s="69"/>
      <c r="BG734" s="69"/>
      <c r="BH734" s="69"/>
      <c r="BI734" s="69"/>
      <c r="BJ734" s="69"/>
      <c r="BK734" s="69"/>
      <c r="BL734" s="69"/>
      <c r="BM734" s="69"/>
      <c r="BN734" s="69"/>
      <c r="BO734" s="69"/>
      <c r="BP734" s="69"/>
      <c r="BQ734" s="69"/>
      <c r="BR734" s="8"/>
    </row>
    <row r="735" ht="12.0" customHeight="1">
      <c r="A735" s="69"/>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69"/>
      <c r="AS735" s="69"/>
      <c r="AT735" s="69"/>
      <c r="AU735" s="69"/>
      <c r="AV735" s="69"/>
      <c r="AW735" s="69"/>
      <c r="AX735" s="69"/>
      <c r="AY735" s="69"/>
      <c r="AZ735" s="69"/>
      <c r="BA735" s="69"/>
      <c r="BB735" s="69"/>
      <c r="BC735" s="69"/>
      <c r="BD735" s="69"/>
      <c r="BE735" s="69"/>
      <c r="BF735" s="69"/>
      <c r="BG735" s="69"/>
      <c r="BH735" s="69"/>
      <c r="BI735" s="69"/>
      <c r="BJ735" s="69"/>
      <c r="BK735" s="69"/>
      <c r="BL735" s="69"/>
      <c r="BM735" s="69"/>
      <c r="BN735" s="69"/>
      <c r="BO735" s="69"/>
      <c r="BP735" s="69"/>
      <c r="BQ735" s="69"/>
      <c r="BR735" s="8"/>
    </row>
    <row r="736" ht="12.0" customHeight="1">
      <c r="A736" s="69"/>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69"/>
      <c r="AS736" s="69"/>
      <c r="AT736" s="69"/>
      <c r="AU736" s="69"/>
      <c r="AV736" s="69"/>
      <c r="AW736" s="69"/>
      <c r="AX736" s="69"/>
      <c r="AY736" s="69"/>
      <c r="AZ736" s="69"/>
      <c r="BA736" s="69"/>
      <c r="BB736" s="69"/>
      <c r="BC736" s="69"/>
      <c r="BD736" s="69"/>
      <c r="BE736" s="69"/>
      <c r="BF736" s="69"/>
      <c r="BG736" s="69"/>
      <c r="BH736" s="69"/>
      <c r="BI736" s="69"/>
      <c r="BJ736" s="69"/>
      <c r="BK736" s="69"/>
      <c r="BL736" s="69"/>
      <c r="BM736" s="69"/>
      <c r="BN736" s="69"/>
      <c r="BO736" s="69"/>
      <c r="BP736" s="69"/>
      <c r="BQ736" s="69"/>
      <c r="BR736" s="8"/>
    </row>
    <row r="737" ht="12.0" customHeight="1">
      <c r="A737" s="69"/>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69"/>
      <c r="AS737" s="69"/>
      <c r="AT737" s="69"/>
      <c r="AU737" s="69"/>
      <c r="AV737" s="69"/>
      <c r="AW737" s="69"/>
      <c r="AX737" s="69"/>
      <c r="AY737" s="69"/>
      <c r="AZ737" s="69"/>
      <c r="BA737" s="69"/>
      <c r="BB737" s="69"/>
      <c r="BC737" s="69"/>
      <c r="BD737" s="69"/>
      <c r="BE737" s="69"/>
      <c r="BF737" s="69"/>
      <c r="BG737" s="69"/>
      <c r="BH737" s="69"/>
      <c r="BI737" s="69"/>
      <c r="BJ737" s="69"/>
      <c r="BK737" s="69"/>
      <c r="BL737" s="69"/>
      <c r="BM737" s="69"/>
      <c r="BN737" s="69"/>
      <c r="BO737" s="69"/>
      <c r="BP737" s="69"/>
      <c r="BQ737" s="69"/>
      <c r="BR737" s="8"/>
    </row>
    <row r="738" ht="12.0" customHeight="1">
      <c r="A738" s="69"/>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69"/>
      <c r="AS738" s="69"/>
      <c r="AT738" s="69"/>
      <c r="AU738" s="69"/>
      <c r="AV738" s="69"/>
      <c r="AW738" s="69"/>
      <c r="AX738" s="69"/>
      <c r="AY738" s="69"/>
      <c r="AZ738" s="69"/>
      <c r="BA738" s="69"/>
      <c r="BB738" s="69"/>
      <c r="BC738" s="69"/>
      <c r="BD738" s="69"/>
      <c r="BE738" s="69"/>
      <c r="BF738" s="69"/>
      <c r="BG738" s="69"/>
      <c r="BH738" s="69"/>
      <c r="BI738" s="69"/>
      <c r="BJ738" s="69"/>
      <c r="BK738" s="69"/>
      <c r="BL738" s="69"/>
      <c r="BM738" s="69"/>
      <c r="BN738" s="69"/>
      <c r="BO738" s="69"/>
      <c r="BP738" s="69"/>
      <c r="BQ738" s="69"/>
      <c r="BR738" s="8"/>
    </row>
    <row r="739" ht="12.0" customHeight="1">
      <c r="A739" s="69"/>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69"/>
      <c r="AS739" s="69"/>
      <c r="AT739" s="69"/>
      <c r="AU739" s="69"/>
      <c r="AV739" s="69"/>
      <c r="AW739" s="69"/>
      <c r="AX739" s="69"/>
      <c r="AY739" s="69"/>
      <c r="AZ739" s="69"/>
      <c r="BA739" s="69"/>
      <c r="BB739" s="69"/>
      <c r="BC739" s="69"/>
      <c r="BD739" s="69"/>
      <c r="BE739" s="69"/>
      <c r="BF739" s="69"/>
      <c r="BG739" s="69"/>
      <c r="BH739" s="69"/>
      <c r="BI739" s="69"/>
      <c r="BJ739" s="69"/>
      <c r="BK739" s="69"/>
      <c r="BL739" s="69"/>
      <c r="BM739" s="69"/>
      <c r="BN739" s="69"/>
      <c r="BO739" s="69"/>
      <c r="BP739" s="69"/>
      <c r="BQ739" s="69"/>
      <c r="BR739" s="8"/>
    </row>
    <row r="740" ht="12.0" customHeight="1">
      <c r="A740" s="69"/>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69"/>
      <c r="AS740" s="69"/>
      <c r="AT740" s="69"/>
      <c r="AU740" s="69"/>
      <c r="AV740" s="69"/>
      <c r="AW740" s="69"/>
      <c r="AX740" s="69"/>
      <c r="AY740" s="69"/>
      <c r="AZ740" s="69"/>
      <c r="BA740" s="69"/>
      <c r="BB740" s="69"/>
      <c r="BC740" s="69"/>
      <c r="BD740" s="69"/>
      <c r="BE740" s="69"/>
      <c r="BF740" s="69"/>
      <c r="BG740" s="69"/>
      <c r="BH740" s="69"/>
      <c r="BI740" s="69"/>
      <c r="BJ740" s="69"/>
      <c r="BK740" s="69"/>
      <c r="BL740" s="69"/>
      <c r="BM740" s="69"/>
      <c r="BN740" s="69"/>
      <c r="BO740" s="69"/>
      <c r="BP740" s="69"/>
      <c r="BQ740" s="69"/>
      <c r="BR740" s="8"/>
    </row>
    <row r="741" ht="12.0" customHeight="1">
      <c r="A741" s="69"/>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69"/>
      <c r="AS741" s="69"/>
      <c r="AT741" s="69"/>
      <c r="AU741" s="69"/>
      <c r="AV741" s="69"/>
      <c r="AW741" s="69"/>
      <c r="AX741" s="69"/>
      <c r="AY741" s="69"/>
      <c r="AZ741" s="69"/>
      <c r="BA741" s="69"/>
      <c r="BB741" s="69"/>
      <c r="BC741" s="69"/>
      <c r="BD741" s="69"/>
      <c r="BE741" s="69"/>
      <c r="BF741" s="69"/>
      <c r="BG741" s="69"/>
      <c r="BH741" s="69"/>
      <c r="BI741" s="69"/>
      <c r="BJ741" s="69"/>
      <c r="BK741" s="69"/>
      <c r="BL741" s="69"/>
      <c r="BM741" s="69"/>
      <c r="BN741" s="69"/>
      <c r="BO741" s="69"/>
      <c r="BP741" s="69"/>
      <c r="BQ741" s="69"/>
      <c r="BR741" s="8"/>
    </row>
    <row r="742" ht="12.0" customHeight="1">
      <c r="A742" s="69"/>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69"/>
      <c r="AS742" s="69"/>
      <c r="AT742" s="69"/>
      <c r="AU742" s="69"/>
      <c r="AV742" s="69"/>
      <c r="AW742" s="69"/>
      <c r="AX742" s="69"/>
      <c r="AY742" s="69"/>
      <c r="AZ742" s="69"/>
      <c r="BA742" s="69"/>
      <c r="BB742" s="69"/>
      <c r="BC742" s="69"/>
      <c r="BD742" s="69"/>
      <c r="BE742" s="69"/>
      <c r="BF742" s="69"/>
      <c r="BG742" s="69"/>
      <c r="BH742" s="69"/>
      <c r="BI742" s="69"/>
      <c r="BJ742" s="69"/>
      <c r="BK742" s="69"/>
      <c r="BL742" s="69"/>
      <c r="BM742" s="69"/>
      <c r="BN742" s="69"/>
      <c r="BO742" s="69"/>
      <c r="BP742" s="69"/>
      <c r="BQ742" s="69"/>
      <c r="BR742" s="8"/>
    </row>
    <row r="743" ht="12.0" customHeight="1">
      <c r="A743" s="69"/>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69"/>
      <c r="AS743" s="69"/>
      <c r="AT743" s="69"/>
      <c r="AU743" s="69"/>
      <c r="AV743" s="69"/>
      <c r="AW743" s="69"/>
      <c r="AX743" s="69"/>
      <c r="AY743" s="69"/>
      <c r="AZ743" s="69"/>
      <c r="BA743" s="69"/>
      <c r="BB743" s="69"/>
      <c r="BC743" s="69"/>
      <c r="BD743" s="69"/>
      <c r="BE743" s="69"/>
      <c r="BF743" s="69"/>
      <c r="BG743" s="69"/>
      <c r="BH743" s="69"/>
      <c r="BI743" s="69"/>
      <c r="BJ743" s="69"/>
      <c r="BK743" s="69"/>
      <c r="BL743" s="69"/>
      <c r="BM743" s="69"/>
      <c r="BN743" s="69"/>
      <c r="BO743" s="69"/>
      <c r="BP743" s="69"/>
      <c r="BQ743" s="69"/>
      <c r="BR743" s="8"/>
    </row>
    <row r="744" ht="12.0" customHeight="1">
      <c r="A744" s="69"/>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69"/>
      <c r="AS744" s="69"/>
      <c r="AT744" s="69"/>
      <c r="AU744" s="69"/>
      <c r="AV744" s="69"/>
      <c r="AW744" s="69"/>
      <c r="AX744" s="69"/>
      <c r="AY744" s="69"/>
      <c r="AZ744" s="69"/>
      <c r="BA744" s="69"/>
      <c r="BB744" s="69"/>
      <c r="BC744" s="69"/>
      <c r="BD744" s="69"/>
      <c r="BE744" s="69"/>
      <c r="BF744" s="69"/>
      <c r="BG744" s="69"/>
      <c r="BH744" s="69"/>
      <c r="BI744" s="69"/>
      <c r="BJ744" s="69"/>
      <c r="BK744" s="69"/>
      <c r="BL744" s="69"/>
      <c r="BM744" s="69"/>
      <c r="BN744" s="69"/>
      <c r="BO744" s="69"/>
      <c r="BP744" s="69"/>
      <c r="BQ744" s="69"/>
      <c r="BR744" s="8"/>
    </row>
    <row r="745" ht="12.0" customHeight="1">
      <c r="A745" s="69"/>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69"/>
      <c r="AS745" s="69"/>
      <c r="AT745" s="69"/>
      <c r="AU745" s="69"/>
      <c r="AV745" s="69"/>
      <c r="AW745" s="69"/>
      <c r="AX745" s="69"/>
      <c r="AY745" s="69"/>
      <c r="AZ745" s="69"/>
      <c r="BA745" s="69"/>
      <c r="BB745" s="69"/>
      <c r="BC745" s="69"/>
      <c r="BD745" s="69"/>
      <c r="BE745" s="69"/>
      <c r="BF745" s="69"/>
      <c r="BG745" s="69"/>
      <c r="BH745" s="69"/>
      <c r="BI745" s="69"/>
      <c r="BJ745" s="69"/>
      <c r="BK745" s="69"/>
      <c r="BL745" s="69"/>
      <c r="BM745" s="69"/>
      <c r="BN745" s="69"/>
      <c r="BO745" s="69"/>
      <c r="BP745" s="69"/>
      <c r="BQ745" s="69"/>
      <c r="BR745" s="8"/>
    </row>
    <row r="746" ht="12.0" customHeight="1">
      <c r="A746" s="69"/>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69"/>
      <c r="AS746" s="69"/>
      <c r="AT746" s="69"/>
      <c r="AU746" s="69"/>
      <c r="AV746" s="69"/>
      <c r="AW746" s="69"/>
      <c r="AX746" s="69"/>
      <c r="AY746" s="69"/>
      <c r="AZ746" s="69"/>
      <c r="BA746" s="69"/>
      <c r="BB746" s="69"/>
      <c r="BC746" s="69"/>
      <c r="BD746" s="69"/>
      <c r="BE746" s="69"/>
      <c r="BF746" s="69"/>
      <c r="BG746" s="69"/>
      <c r="BH746" s="69"/>
      <c r="BI746" s="69"/>
      <c r="BJ746" s="69"/>
      <c r="BK746" s="69"/>
      <c r="BL746" s="69"/>
      <c r="BM746" s="69"/>
      <c r="BN746" s="69"/>
      <c r="BO746" s="69"/>
      <c r="BP746" s="69"/>
      <c r="BQ746" s="69"/>
      <c r="BR746" s="8"/>
    </row>
    <row r="747" ht="12.0" customHeight="1">
      <c r="A747" s="69"/>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69"/>
      <c r="AS747" s="69"/>
      <c r="AT747" s="69"/>
      <c r="AU747" s="69"/>
      <c r="AV747" s="69"/>
      <c r="AW747" s="69"/>
      <c r="AX747" s="69"/>
      <c r="AY747" s="69"/>
      <c r="AZ747" s="69"/>
      <c r="BA747" s="69"/>
      <c r="BB747" s="69"/>
      <c r="BC747" s="69"/>
      <c r="BD747" s="69"/>
      <c r="BE747" s="69"/>
      <c r="BF747" s="69"/>
      <c r="BG747" s="69"/>
      <c r="BH747" s="69"/>
      <c r="BI747" s="69"/>
      <c r="BJ747" s="69"/>
      <c r="BK747" s="69"/>
      <c r="BL747" s="69"/>
      <c r="BM747" s="69"/>
      <c r="BN747" s="69"/>
      <c r="BO747" s="69"/>
      <c r="BP747" s="69"/>
      <c r="BQ747" s="69"/>
      <c r="BR747" s="8"/>
    </row>
    <row r="748" ht="12.0" customHeight="1">
      <c r="A748" s="69"/>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69"/>
      <c r="AS748" s="69"/>
      <c r="AT748" s="69"/>
      <c r="AU748" s="69"/>
      <c r="AV748" s="69"/>
      <c r="AW748" s="69"/>
      <c r="AX748" s="69"/>
      <c r="AY748" s="69"/>
      <c r="AZ748" s="69"/>
      <c r="BA748" s="69"/>
      <c r="BB748" s="69"/>
      <c r="BC748" s="69"/>
      <c r="BD748" s="69"/>
      <c r="BE748" s="69"/>
      <c r="BF748" s="69"/>
      <c r="BG748" s="69"/>
      <c r="BH748" s="69"/>
      <c r="BI748" s="69"/>
      <c r="BJ748" s="69"/>
      <c r="BK748" s="69"/>
      <c r="BL748" s="69"/>
      <c r="BM748" s="69"/>
      <c r="BN748" s="69"/>
      <c r="BO748" s="69"/>
      <c r="BP748" s="69"/>
      <c r="BQ748" s="69"/>
      <c r="BR748" s="8"/>
    </row>
    <row r="749" ht="12.0" customHeight="1">
      <c r="A749" s="69"/>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69"/>
      <c r="AS749" s="69"/>
      <c r="AT749" s="69"/>
      <c r="AU749" s="69"/>
      <c r="AV749" s="69"/>
      <c r="AW749" s="69"/>
      <c r="AX749" s="69"/>
      <c r="AY749" s="69"/>
      <c r="AZ749" s="69"/>
      <c r="BA749" s="69"/>
      <c r="BB749" s="69"/>
      <c r="BC749" s="69"/>
      <c r="BD749" s="69"/>
      <c r="BE749" s="69"/>
      <c r="BF749" s="69"/>
      <c r="BG749" s="69"/>
      <c r="BH749" s="69"/>
      <c r="BI749" s="69"/>
      <c r="BJ749" s="69"/>
      <c r="BK749" s="69"/>
      <c r="BL749" s="69"/>
      <c r="BM749" s="69"/>
      <c r="BN749" s="69"/>
      <c r="BO749" s="69"/>
      <c r="BP749" s="69"/>
      <c r="BQ749" s="69"/>
      <c r="BR749" s="8"/>
    </row>
    <row r="750" ht="12.0" customHeight="1">
      <c r="A750" s="69"/>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69"/>
      <c r="AS750" s="69"/>
      <c r="AT750" s="69"/>
      <c r="AU750" s="69"/>
      <c r="AV750" s="69"/>
      <c r="AW750" s="69"/>
      <c r="AX750" s="69"/>
      <c r="AY750" s="69"/>
      <c r="AZ750" s="69"/>
      <c r="BA750" s="69"/>
      <c r="BB750" s="69"/>
      <c r="BC750" s="69"/>
      <c r="BD750" s="69"/>
      <c r="BE750" s="69"/>
      <c r="BF750" s="69"/>
      <c r="BG750" s="69"/>
      <c r="BH750" s="69"/>
      <c r="BI750" s="69"/>
      <c r="BJ750" s="69"/>
      <c r="BK750" s="69"/>
      <c r="BL750" s="69"/>
      <c r="BM750" s="69"/>
      <c r="BN750" s="69"/>
      <c r="BO750" s="69"/>
      <c r="BP750" s="69"/>
      <c r="BQ750" s="69"/>
      <c r="BR750" s="8"/>
    </row>
    <row r="751" ht="12.0" customHeight="1">
      <c r="A751" s="69"/>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69"/>
      <c r="AS751" s="69"/>
      <c r="AT751" s="69"/>
      <c r="AU751" s="69"/>
      <c r="AV751" s="69"/>
      <c r="AW751" s="69"/>
      <c r="AX751" s="69"/>
      <c r="AY751" s="69"/>
      <c r="AZ751" s="69"/>
      <c r="BA751" s="69"/>
      <c r="BB751" s="69"/>
      <c r="BC751" s="69"/>
      <c r="BD751" s="69"/>
      <c r="BE751" s="69"/>
      <c r="BF751" s="69"/>
      <c r="BG751" s="69"/>
      <c r="BH751" s="69"/>
      <c r="BI751" s="69"/>
      <c r="BJ751" s="69"/>
      <c r="BK751" s="69"/>
      <c r="BL751" s="69"/>
      <c r="BM751" s="69"/>
      <c r="BN751" s="69"/>
      <c r="BO751" s="69"/>
      <c r="BP751" s="69"/>
      <c r="BQ751" s="69"/>
      <c r="BR751" s="8"/>
    </row>
    <row r="752" ht="12.0" customHeight="1">
      <c r="A752" s="69"/>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69"/>
      <c r="AS752" s="69"/>
      <c r="AT752" s="69"/>
      <c r="AU752" s="69"/>
      <c r="AV752" s="69"/>
      <c r="AW752" s="69"/>
      <c r="AX752" s="69"/>
      <c r="AY752" s="69"/>
      <c r="AZ752" s="69"/>
      <c r="BA752" s="69"/>
      <c r="BB752" s="69"/>
      <c r="BC752" s="69"/>
      <c r="BD752" s="69"/>
      <c r="BE752" s="69"/>
      <c r="BF752" s="69"/>
      <c r="BG752" s="69"/>
      <c r="BH752" s="69"/>
      <c r="BI752" s="69"/>
      <c r="BJ752" s="69"/>
      <c r="BK752" s="69"/>
      <c r="BL752" s="69"/>
      <c r="BM752" s="69"/>
      <c r="BN752" s="69"/>
      <c r="BO752" s="69"/>
      <c r="BP752" s="69"/>
      <c r="BQ752" s="69"/>
      <c r="BR752" s="8"/>
    </row>
    <row r="753" ht="12.0" customHeight="1">
      <c r="A753" s="69"/>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69"/>
      <c r="AS753" s="69"/>
      <c r="AT753" s="69"/>
      <c r="AU753" s="69"/>
      <c r="AV753" s="69"/>
      <c r="AW753" s="69"/>
      <c r="AX753" s="69"/>
      <c r="AY753" s="69"/>
      <c r="AZ753" s="69"/>
      <c r="BA753" s="69"/>
      <c r="BB753" s="69"/>
      <c r="BC753" s="69"/>
      <c r="BD753" s="69"/>
      <c r="BE753" s="69"/>
      <c r="BF753" s="69"/>
      <c r="BG753" s="69"/>
      <c r="BH753" s="69"/>
      <c r="BI753" s="69"/>
      <c r="BJ753" s="69"/>
      <c r="BK753" s="69"/>
      <c r="BL753" s="69"/>
      <c r="BM753" s="69"/>
      <c r="BN753" s="69"/>
      <c r="BO753" s="69"/>
      <c r="BP753" s="69"/>
      <c r="BQ753" s="69"/>
      <c r="BR753" s="8"/>
    </row>
    <row r="754" ht="12.0" customHeight="1">
      <c r="A754" s="69"/>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69"/>
      <c r="AS754" s="69"/>
      <c r="AT754" s="69"/>
      <c r="AU754" s="69"/>
      <c r="AV754" s="69"/>
      <c r="AW754" s="69"/>
      <c r="AX754" s="69"/>
      <c r="AY754" s="69"/>
      <c r="AZ754" s="69"/>
      <c r="BA754" s="69"/>
      <c r="BB754" s="69"/>
      <c r="BC754" s="69"/>
      <c r="BD754" s="69"/>
      <c r="BE754" s="69"/>
      <c r="BF754" s="69"/>
      <c r="BG754" s="69"/>
      <c r="BH754" s="69"/>
      <c r="BI754" s="69"/>
      <c r="BJ754" s="69"/>
      <c r="BK754" s="69"/>
      <c r="BL754" s="69"/>
      <c r="BM754" s="69"/>
      <c r="BN754" s="69"/>
      <c r="BO754" s="69"/>
      <c r="BP754" s="69"/>
      <c r="BQ754" s="69"/>
      <c r="BR754" s="8"/>
    </row>
    <row r="755" ht="12.0" customHeight="1">
      <c r="A755" s="69"/>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69"/>
      <c r="AS755" s="69"/>
      <c r="AT755" s="69"/>
      <c r="AU755" s="69"/>
      <c r="AV755" s="69"/>
      <c r="AW755" s="69"/>
      <c r="AX755" s="69"/>
      <c r="AY755" s="69"/>
      <c r="AZ755" s="69"/>
      <c r="BA755" s="69"/>
      <c r="BB755" s="69"/>
      <c r="BC755" s="69"/>
      <c r="BD755" s="69"/>
      <c r="BE755" s="69"/>
      <c r="BF755" s="69"/>
      <c r="BG755" s="69"/>
      <c r="BH755" s="69"/>
      <c r="BI755" s="69"/>
      <c r="BJ755" s="69"/>
      <c r="BK755" s="69"/>
      <c r="BL755" s="69"/>
      <c r="BM755" s="69"/>
      <c r="BN755" s="69"/>
      <c r="BO755" s="69"/>
      <c r="BP755" s="69"/>
      <c r="BQ755" s="69"/>
      <c r="BR755" s="8"/>
    </row>
    <row r="756" ht="12.0" customHeight="1">
      <c r="A756" s="69"/>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69"/>
      <c r="AS756" s="69"/>
      <c r="AT756" s="69"/>
      <c r="AU756" s="69"/>
      <c r="AV756" s="69"/>
      <c r="AW756" s="69"/>
      <c r="AX756" s="69"/>
      <c r="AY756" s="69"/>
      <c r="AZ756" s="69"/>
      <c r="BA756" s="69"/>
      <c r="BB756" s="69"/>
      <c r="BC756" s="69"/>
      <c r="BD756" s="69"/>
      <c r="BE756" s="69"/>
      <c r="BF756" s="69"/>
      <c r="BG756" s="69"/>
      <c r="BH756" s="69"/>
      <c r="BI756" s="69"/>
      <c r="BJ756" s="69"/>
      <c r="BK756" s="69"/>
      <c r="BL756" s="69"/>
      <c r="BM756" s="69"/>
      <c r="BN756" s="69"/>
      <c r="BO756" s="69"/>
      <c r="BP756" s="69"/>
      <c r="BQ756" s="69"/>
      <c r="BR756" s="8"/>
    </row>
    <row r="757" ht="12.0" customHeight="1">
      <c r="A757" s="69"/>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69"/>
      <c r="AS757" s="69"/>
      <c r="AT757" s="69"/>
      <c r="AU757" s="69"/>
      <c r="AV757" s="69"/>
      <c r="AW757" s="69"/>
      <c r="AX757" s="69"/>
      <c r="AY757" s="69"/>
      <c r="AZ757" s="69"/>
      <c r="BA757" s="69"/>
      <c r="BB757" s="69"/>
      <c r="BC757" s="69"/>
      <c r="BD757" s="69"/>
      <c r="BE757" s="69"/>
      <c r="BF757" s="69"/>
      <c r="BG757" s="69"/>
      <c r="BH757" s="69"/>
      <c r="BI757" s="69"/>
      <c r="BJ757" s="69"/>
      <c r="BK757" s="69"/>
      <c r="BL757" s="69"/>
      <c r="BM757" s="69"/>
      <c r="BN757" s="69"/>
      <c r="BO757" s="69"/>
      <c r="BP757" s="69"/>
      <c r="BQ757" s="69"/>
      <c r="BR757" s="8"/>
    </row>
    <row r="758" ht="12.0" customHeight="1">
      <c r="A758" s="69"/>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69"/>
      <c r="AS758" s="69"/>
      <c r="AT758" s="69"/>
      <c r="AU758" s="69"/>
      <c r="AV758" s="69"/>
      <c r="AW758" s="69"/>
      <c r="AX758" s="69"/>
      <c r="AY758" s="69"/>
      <c r="AZ758" s="69"/>
      <c r="BA758" s="69"/>
      <c r="BB758" s="69"/>
      <c r="BC758" s="69"/>
      <c r="BD758" s="69"/>
      <c r="BE758" s="69"/>
      <c r="BF758" s="69"/>
      <c r="BG758" s="69"/>
      <c r="BH758" s="69"/>
      <c r="BI758" s="69"/>
      <c r="BJ758" s="69"/>
      <c r="BK758" s="69"/>
      <c r="BL758" s="69"/>
      <c r="BM758" s="69"/>
      <c r="BN758" s="69"/>
      <c r="BO758" s="69"/>
      <c r="BP758" s="69"/>
      <c r="BQ758" s="69"/>
      <c r="BR758" s="8"/>
    </row>
    <row r="759" ht="12.0" customHeight="1">
      <c r="A759" s="69"/>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69"/>
      <c r="AS759" s="69"/>
      <c r="AT759" s="69"/>
      <c r="AU759" s="69"/>
      <c r="AV759" s="69"/>
      <c r="AW759" s="69"/>
      <c r="AX759" s="69"/>
      <c r="AY759" s="69"/>
      <c r="AZ759" s="69"/>
      <c r="BA759" s="69"/>
      <c r="BB759" s="69"/>
      <c r="BC759" s="69"/>
      <c r="BD759" s="69"/>
      <c r="BE759" s="69"/>
      <c r="BF759" s="69"/>
      <c r="BG759" s="69"/>
      <c r="BH759" s="69"/>
      <c r="BI759" s="69"/>
      <c r="BJ759" s="69"/>
      <c r="BK759" s="69"/>
      <c r="BL759" s="69"/>
      <c r="BM759" s="69"/>
      <c r="BN759" s="69"/>
      <c r="BO759" s="69"/>
      <c r="BP759" s="69"/>
      <c r="BQ759" s="69"/>
      <c r="BR759" s="8"/>
    </row>
    <row r="760" ht="12.0" customHeight="1">
      <c r="A760" s="69"/>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69"/>
      <c r="AS760" s="69"/>
      <c r="AT760" s="69"/>
      <c r="AU760" s="69"/>
      <c r="AV760" s="69"/>
      <c r="AW760" s="69"/>
      <c r="AX760" s="69"/>
      <c r="AY760" s="69"/>
      <c r="AZ760" s="69"/>
      <c r="BA760" s="69"/>
      <c r="BB760" s="69"/>
      <c r="BC760" s="69"/>
      <c r="BD760" s="69"/>
      <c r="BE760" s="69"/>
      <c r="BF760" s="69"/>
      <c r="BG760" s="69"/>
      <c r="BH760" s="69"/>
      <c r="BI760" s="69"/>
      <c r="BJ760" s="69"/>
      <c r="BK760" s="69"/>
      <c r="BL760" s="69"/>
      <c r="BM760" s="69"/>
      <c r="BN760" s="69"/>
      <c r="BO760" s="69"/>
      <c r="BP760" s="69"/>
      <c r="BQ760" s="69"/>
      <c r="BR760" s="8"/>
    </row>
    <row r="761" ht="12.0" customHeight="1">
      <c r="A761" s="69"/>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69"/>
      <c r="AS761" s="69"/>
      <c r="AT761" s="69"/>
      <c r="AU761" s="69"/>
      <c r="AV761" s="69"/>
      <c r="AW761" s="69"/>
      <c r="AX761" s="69"/>
      <c r="AY761" s="69"/>
      <c r="AZ761" s="69"/>
      <c r="BA761" s="69"/>
      <c r="BB761" s="69"/>
      <c r="BC761" s="69"/>
      <c r="BD761" s="69"/>
      <c r="BE761" s="69"/>
      <c r="BF761" s="69"/>
      <c r="BG761" s="69"/>
      <c r="BH761" s="69"/>
      <c r="BI761" s="69"/>
      <c r="BJ761" s="69"/>
      <c r="BK761" s="69"/>
      <c r="BL761" s="69"/>
      <c r="BM761" s="69"/>
      <c r="BN761" s="69"/>
      <c r="BO761" s="69"/>
      <c r="BP761" s="69"/>
      <c r="BQ761" s="69"/>
      <c r="BR761" s="8"/>
    </row>
    <row r="762" ht="12.0" customHeight="1">
      <c r="A762" s="69"/>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69"/>
      <c r="AS762" s="69"/>
      <c r="AT762" s="69"/>
      <c r="AU762" s="69"/>
      <c r="AV762" s="69"/>
      <c r="AW762" s="69"/>
      <c r="AX762" s="69"/>
      <c r="AY762" s="69"/>
      <c r="AZ762" s="69"/>
      <c r="BA762" s="69"/>
      <c r="BB762" s="69"/>
      <c r="BC762" s="69"/>
      <c r="BD762" s="69"/>
      <c r="BE762" s="69"/>
      <c r="BF762" s="69"/>
      <c r="BG762" s="69"/>
      <c r="BH762" s="69"/>
      <c r="BI762" s="69"/>
      <c r="BJ762" s="69"/>
      <c r="BK762" s="69"/>
      <c r="BL762" s="69"/>
      <c r="BM762" s="69"/>
      <c r="BN762" s="69"/>
      <c r="BO762" s="69"/>
      <c r="BP762" s="69"/>
      <c r="BQ762" s="69"/>
      <c r="BR762" s="8"/>
    </row>
    <row r="763" ht="12.0" customHeight="1">
      <c r="A763" s="69"/>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69"/>
      <c r="AS763" s="69"/>
      <c r="AT763" s="69"/>
      <c r="AU763" s="69"/>
      <c r="AV763" s="69"/>
      <c r="AW763" s="69"/>
      <c r="AX763" s="69"/>
      <c r="AY763" s="69"/>
      <c r="AZ763" s="69"/>
      <c r="BA763" s="69"/>
      <c r="BB763" s="69"/>
      <c r="BC763" s="69"/>
      <c r="BD763" s="69"/>
      <c r="BE763" s="69"/>
      <c r="BF763" s="69"/>
      <c r="BG763" s="69"/>
      <c r="BH763" s="69"/>
      <c r="BI763" s="69"/>
      <c r="BJ763" s="69"/>
      <c r="BK763" s="69"/>
      <c r="BL763" s="69"/>
      <c r="BM763" s="69"/>
      <c r="BN763" s="69"/>
      <c r="BO763" s="69"/>
      <c r="BP763" s="69"/>
      <c r="BQ763" s="69"/>
      <c r="BR763" s="8"/>
    </row>
    <row r="764" ht="12.0" customHeight="1">
      <c r="A764" s="69"/>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69"/>
      <c r="AS764" s="69"/>
      <c r="AT764" s="69"/>
      <c r="AU764" s="69"/>
      <c r="AV764" s="69"/>
      <c r="AW764" s="69"/>
      <c r="AX764" s="69"/>
      <c r="AY764" s="69"/>
      <c r="AZ764" s="69"/>
      <c r="BA764" s="69"/>
      <c r="BB764" s="69"/>
      <c r="BC764" s="69"/>
      <c r="BD764" s="69"/>
      <c r="BE764" s="69"/>
      <c r="BF764" s="69"/>
      <c r="BG764" s="69"/>
      <c r="BH764" s="69"/>
      <c r="BI764" s="69"/>
      <c r="BJ764" s="69"/>
      <c r="BK764" s="69"/>
      <c r="BL764" s="69"/>
      <c r="BM764" s="69"/>
      <c r="BN764" s="69"/>
      <c r="BO764" s="69"/>
      <c r="BP764" s="69"/>
      <c r="BQ764" s="69"/>
      <c r="BR764" s="8"/>
    </row>
    <row r="765" ht="12.0" customHeight="1">
      <c r="A765" s="69"/>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69"/>
      <c r="AS765" s="69"/>
      <c r="AT765" s="69"/>
      <c r="AU765" s="69"/>
      <c r="AV765" s="69"/>
      <c r="AW765" s="69"/>
      <c r="AX765" s="69"/>
      <c r="AY765" s="69"/>
      <c r="AZ765" s="69"/>
      <c r="BA765" s="69"/>
      <c r="BB765" s="69"/>
      <c r="BC765" s="69"/>
      <c r="BD765" s="69"/>
      <c r="BE765" s="69"/>
      <c r="BF765" s="69"/>
      <c r="BG765" s="69"/>
      <c r="BH765" s="69"/>
      <c r="BI765" s="69"/>
      <c r="BJ765" s="69"/>
      <c r="BK765" s="69"/>
      <c r="BL765" s="69"/>
      <c r="BM765" s="69"/>
      <c r="BN765" s="69"/>
      <c r="BO765" s="69"/>
      <c r="BP765" s="69"/>
      <c r="BQ765" s="69"/>
      <c r="BR765" s="8"/>
    </row>
    <row r="766" ht="12.0" customHeight="1">
      <c r="A766" s="69"/>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69"/>
      <c r="AS766" s="69"/>
      <c r="AT766" s="69"/>
      <c r="AU766" s="69"/>
      <c r="AV766" s="69"/>
      <c r="AW766" s="69"/>
      <c r="AX766" s="69"/>
      <c r="AY766" s="69"/>
      <c r="AZ766" s="69"/>
      <c r="BA766" s="69"/>
      <c r="BB766" s="69"/>
      <c r="BC766" s="69"/>
      <c r="BD766" s="69"/>
      <c r="BE766" s="69"/>
      <c r="BF766" s="69"/>
      <c r="BG766" s="69"/>
      <c r="BH766" s="69"/>
      <c r="BI766" s="69"/>
      <c r="BJ766" s="69"/>
      <c r="BK766" s="69"/>
      <c r="BL766" s="69"/>
      <c r="BM766" s="69"/>
      <c r="BN766" s="69"/>
      <c r="BO766" s="69"/>
      <c r="BP766" s="69"/>
      <c r="BQ766" s="69"/>
      <c r="BR766" s="8"/>
    </row>
    <row r="767" ht="12.0" customHeight="1">
      <c r="A767" s="69"/>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69"/>
      <c r="AS767" s="69"/>
      <c r="AT767" s="69"/>
      <c r="AU767" s="69"/>
      <c r="AV767" s="69"/>
      <c r="AW767" s="69"/>
      <c r="AX767" s="69"/>
      <c r="AY767" s="69"/>
      <c r="AZ767" s="69"/>
      <c r="BA767" s="69"/>
      <c r="BB767" s="69"/>
      <c r="BC767" s="69"/>
      <c r="BD767" s="69"/>
      <c r="BE767" s="69"/>
      <c r="BF767" s="69"/>
      <c r="BG767" s="69"/>
      <c r="BH767" s="69"/>
      <c r="BI767" s="69"/>
      <c r="BJ767" s="69"/>
      <c r="BK767" s="69"/>
      <c r="BL767" s="69"/>
      <c r="BM767" s="69"/>
      <c r="BN767" s="69"/>
      <c r="BO767" s="69"/>
      <c r="BP767" s="69"/>
      <c r="BQ767" s="69"/>
      <c r="BR767" s="8"/>
    </row>
    <row r="768" ht="12.0" customHeight="1">
      <c r="A768" s="69"/>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69"/>
      <c r="AS768" s="69"/>
      <c r="AT768" s="69"/>
      <c r="AU768" s="69"/>
      <c r="AV768" s="69"/>
      <c r="AW768" s="69"/>
      <c r="AX768" s="69"/>
      <c r="AY768" s="69"/>
      <c r="AZ768" s="69"/>
      <c r="BA768" s="69"/>
      <c r="BB768" s="69"/>
      <c r="BC768" s="69"/>
      <c r="BD768" s="69"/>
      <c r="BE768" s="69"/>
      <c r="BF768" s="69"/>
      <c r="BG768" s="69"/>
      <c r="BH768" s="69"/>
      <c r="BI768" s="69"/>
      <c r="BJ768" s="69"/>
      <c r="BK768" s="69"/>
      <c r="BL768" s="69"/>
      <c r="BM768" s="69"/>
      <c r="BN768" s="69"/>
      <c r="BO768" s="69"/>
      <c r="BP768" s="69"/>
      <c r="BQ768" s="69"/>
      <c r="BR768" s="8"/>
    </row>
    <row r="769" ht="12.0" customHeight="1">
      <c r="A769" s="69"/>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c r="AR769" s="69"/>
      <c r="AS769" s="69"/>
      <c r="AT769" s="69"/>
      <c r="AU769" s="69"/>
      <c r="AV769" s="69"/>
      <c r="AW769" s="69"/>
      <c r="AX769" s="69"/>
      <c r="AY769" s="69"/>
      <c r="AZ769" s="69"/>
      <c r="BA769" s="69"/>
      <c r="BB769" s="69"/>
      <c r="BC769" s="69"/>
      <c r="BD769" s="69"/>
      <c r="BE769" s="69"/>
      <c r="BF769" s="69"/>
      <c r="BG769" s="69"/>
      <c r="BH769" s="69"/>
      <c r="BI769" s="69"/>
      <c r="BJ769" s="69"/>
      <c r="BK769" s="69"/>
      <c r="BL769" s="69"/>
      <c r="BM769" s="69"/>
      <c r="BN769" s="69"/>
      <c r="BO769" s="69"/>
      <c r="BP769" s="69"/>
      <c r="BQ769" s="69"/>
      <c r="BR769" s="8"/>
    </row>
    <row r="770" ht="12.0" customHeight="1">
      <c r="A770" s="69"/>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M770" s="78"/>
      <c r="AN770" s="78"/>
      <c r="AO770" s="78"/>
      <c r="AP770" s="78"/>
      <c r="AQ770" s="78"/>
      <c r="AR770" s="69"/>
      <c r="AS770" s="69"/>
      <c r="AT770" s="69"/>
      <c r="AU770" s="69"/>
      <c r="AV770" s="69"/>
      <c r="AW770" s="69"/>
      <c r="AX770" s="69"/>
      <c r="AY770" s="69"/>
      <c r="AZ770" s="69"/>
      <c r="BA770" s="69"/>
      <c r="BB770" s="69"/>
      <c r="BC770" s="69"/>
      <c r="BD770" s="69"/>
      <c r="BE770" s="69"/>
      <c r="BF770" s="69"/>
      <c r="BG770" s="69"/>
      <c r="BH770" s="69"/>
      <c r="BI770" s="69"/>
      <c r="BJ770" s="69"/>
      <c r="BK770" s="69"/>
      <c r="BL770" s="69"/>
      <c r="BM770" s="69"/>
      <c r="BN770" s="69"/>
      <c r="BO770" s="69"/>
      <c r="BP770" s="69"/>
      <c r="BQ770" s="69"/>
      <c r="BR770" s="8"/>
    </row>
    <row r="771" ht="12.0" customHeight="1">
      <c r="A771" s="69"/>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8"/>
      <c r="AP771" s="78"/>
      <c r="AQ771" s="78"/>
      <c r="AR771" s="69"/>
      <c r="AS771" s="69"/>
      <c r="AT771" s="69"/>
      <c r="AU771" s="69"/>
      <c r="AV771" s="69"/>
      <c r="AW771" s="69"/>
      <c r="AX771" s="69"/>
      <c r="AY771" s="69"/>
      <c r="AZ771" s="69"/>
      <c r="BA771" s="69"/>
      <c r="BB771" s="69"/>
      <c r="BC771" s="69"/>
      <c r="BD771" s="69"/>
      <c r="BE771" s="69"/>
      <c r="BF771" s="69"/>
      <c r="BG771" s="69"/>
      <c r="BH771" s="69"/>
      <c r="BI771" s="69"/>
      <c r="BJ771" s="69"/>
      <c r="BK771" s="69"/>
      <c r="BL771" s="69"/>
      <c r="BM771" s="69"/>
      <c r="BN771" s="69"/>
      <c r="BO771" s="69"/>
      <c r="BP771" s="69"/>
      <c r="BQ771" s="69"/>
      <c r="BR771" s="8"/>
    </row>
    <row r="772" ht="12.0" customHeight="1">
      <c r="A772" s="69"/>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c r="AN772" s="78"/>
      <c r="AO772" s="78"/>
      <c r="AP772" s="78"/>
      <c r="AQ772" s="78"/>
      <c r="AR772" s="69"/>
      <c r="AS772" s="69"/>
      <c r="AT772" s="69"/>
      <c r="AU772" s="69"/>
      <c r="AV772" s="69"/>
      <c r="AW772" s="69"/>
      <c r="AX772" s="69"/>
      <c r="AY772" s="69"/>
      <c r="AZ772" s="69"/>
      <c r="BA772" s="69"/>
      <c r="BB772" s="69"/>
      <c r="BC772" s="69"/>
      <c r="BD772" s="69"/>
      <c r="BE772" s="69"/>
      <c r="BF772" s="69"/>
      <c r="BG772" s="69"/>
      <c r="BH772" s="69"/>
      <c r="BI772" s="69"/>
      <c r="BJ772" s="69"/>
      <c r="BK772" s="69"/>
      <c r="BL772" s="69"/>
      <c r="BM772" s="69"/>
      <c r="BN772" s="69"/>
      <c r="BO772" s="69"/>
      <c r="BP772" s="69"/>
      <c r="BQ772" s="69"/>
      <c r="BR772" s="8"/>
    </row>
    <row r="773" ht="12.0" customHeight="1">
      <c r="A773" s="69"/>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M773" s="78"/>
      <c r="AN773" s="78"/>
      <c r="AO773" s="78"/>
      <c r="AP773" s="78"/>
      <c r="AQ773" s="78"/>
      <c r="AR773" s="69"/>
      <c r="AS773" s="69"/>
      <c r="AT773" s="69"/>
      <c r="AU773" s="69"/>
      <c r="AV773" s="69"/>
      <c r="AW773" s="69"/>
      <c r="AX773" s="69"/>
      <c r="AY773" s="69"/>
      <c r="AZ773" s="69"/>
      <c r="BA773" s="69"/>
      <c r="BB773" s="69"/>
      <c r="BC773" s="69"/>
      <c r="BD773" s="69"/>
      <c r="BE773" s="69"/>
      <c r="BF773" s="69"/>
      <c r="BG773" s="69"/>
      <c r="BH773" s="69"/>
      <c r="BI773" s="69"/>
      <c r="BJ773" s="69"/>
      <c r="BK773" s="69"/>
      <c r="BL773" s="69"/>
      <c r="BM773" s="69"/>
      <c r="BN773" s="69"/>
      <c r="BO773" s="69"/>
      <c r="BP773" s="69"/>
      <c r="BQ773" s="69"/>
      <c r="BR773" s="8"/>
    </row>
    <row r="774" ht="12.0" customHeight="1">
      <c r="A774" s="69"/>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M774" s="78"/>
      <c r="AN774" s="78"/>
      <c r="AO774" s="78"/>
      <c r="AP774" s="78"/>
      <c r="AQ774" s="78"/>
      <c r="AR774" s="69"/>
      <c r="AS774" s="69"/>
      <c r="AT774" s="69"/>
      <c r="AU774" s="69"/>
      <c r="AV774" s="69"/>
      <c r="AW774" s="69"/>
      <c r="AX774" s="69"/>
      <c r="AY774" s="69"/>
      <c r="AZ774" s="69"/>
      <c r="BA774" s="69"/>
      <c r="BB774" s="69"/>
      <c r="BC774" s="69"/>
      <c r="BD774" s="69"/>
      <c r="BE774" s="69"/>
      <c r="BF774" s="69"/>
      <c r="BG774" s="69"/>
      <c r="BH774" s="69"/>
      <c r="BI774" s="69"/>
      <c r="BJ774" s="69"/>
      <c r="BK774" s="69"/>
      <c r="BL774" s="69"/>
      <c r="BM774" s="69"/>
      <c r="BN774" s="69"/>
      <c r="BO774" s="69"/>
      <c r="BP774" s="69"/>
      <c r="BQ774" s="69"/>
      <c r="BR774" s="8"/>
    </row>
    <row r="775" ht="12.0" customHeight="1">
      <c r="A775" s="69"/>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c r="AN775" s="78"/>
      <c r="AO775" s="78"/>
      <c r="AP775" s="78"/>
      <c r="AQ775" s="78"/>
      <c r="AR775" s="69"/>
      <c r="AS775" s="69"/>
      <c r="AT775" s="69"/>
      <c r="AU775" s="69"/>
      <c r="AV775" s="69"/>
      <c r="AW775" s="69"/>
      <c r="AX775" s="69"/>
      <c r="AY775" s="69"/>
      <c r="AZ775" s="69"/>
      <c r="BA775" s="69"/>
      <c r="BB775" s="69"/>
      <c r="BC775" s="69"/>
      <c r="BD775" s="69"/>
      <c r="BE775" s="69"/>
      <c r="BF775" s="69"/>
      <c r="BG775" s="69"/>
      <c r="BH775" s="69"/>
      <c r="BI775" s="69"/>
      <c r="BJ775" s="69"/>
      <c r="BK775" s="69"/>
      <c r="BL775" s="69"/>
      <c r="BM775" s="69"/>
      <c r="BN775" s="69"/>
      <c r="BO775" s="69"/>
      <c r="BP775" s="69"/>
      <c r="BQ775" s="69"/>
      <c r="BR775" s="8"/>
    </row>
    <row r="776" ht="12.0" customHeight="1">
      <c r="A776" s="69"/>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M776" s="78"/>
      <c r="AN776" s="78"/>
      <c r="AO776" s="78"/>
      <c r="AP776" s="78"/>
      <c r="AQ776" s="78"/>
      <c r="AR776" s="69"/>
      <c r="AS776" s="69"/>
      <c r="AT776" s="69"/>
      <c r="AU776" s="69"/>
      <c r="AV776" s="69"/>
      <c r="AW776" s="69"/>
      <c r="AX776" s="69"/>
      <c r="AY776" s="69"/>
      <c r="AZ776" s="69"/>
      <c r="BA776" s="69"/>
      <c r="BB776" s="69"/>
      <c r="BC776" s="69"/>
      <c r="BD776" s="69"/>
      <c r="BE776" s="69"/>
      <c r="BF776" s="69"/>
      <c r="BG776" s="69"/>
      <c r="BH776" s="69"/>
      <c r="BI776" s="69"/>
      <c r="BJ776" s="69"/>
      <c r="BK776" s="69"/>
      <c r="BL776" s="69"/>
      <c r="BM776" s="69"/>
      <c r="BN776" s="69"/>
      <c r="BO776" s="69"/>
      <c r="BP776" s="69"/>
      <c r="BQ776" s="69"/>
      <c r="BR776" s="8"/>
    </row>
    <row r="777" ht="12.0" customHeight="1">
      <c r="A777" s="69"/>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c r="AN777" s="78"/>
      <c r="AO777" s="78"/>
      <c r="AP777" s="78"/>
      <c r="AQ777" s="78"/>
      <c r="AR777" s="69"/>
      <c r="AS777" s="69"/>
      <c r="AT777" s="69"/>
      <c r="AU777" s="69"/>
      <c r="AV777" s="69"/>
      <c r="AW777" s="69"/>
      <c r="AX777" s="69"/>
      <c r="AY777" s="69"/>
      <c r="AZ777" s="69"/>
      <c r="BA777" s="69"/>
      <c r="BB777" s="69"/>
      <c r="BC777" s="69"/>
      <c r="BD777" s="69"/>
      <c r="BE777" s="69"/>
      <c r="BF777" s="69"/>
      <c r="BG777" s="69"/>
      <c r="BH777" s="69"/>
      <c r="BI777" s="69"/>
      <c r="BJ777" s="69"/>
      <c r="BK777" s="69"/>
      <c r="BL777" s="69"/>
      <c r="BM777" s="69"/>
      <c r="BN777" s="69"/>
      <c r="BO777" s="69"/>
      <c r="BP777" s="69"/>
      <c r="BQ777" s="69"/>
      <c r="BR777" s="8"/>
    </row>
    <row r="778" ht="12.0" customHeight="1">
      <c r="A778" s="69"/>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M778" s="78"/>
      <c r="AN778" s="78"/>
      <c r="AO778" s="78"/>
      <c r="AP778" s="78"/>
      <c r="AQ778" s="78"/>
      <c r="AR778" s="69"/>
      <c r="AS778" s="69"/>
      <c r="AT778" s="69"/>
      <c r="AU778" s="69"/>
      <c r="AV778" s="69"/>
      <c r="AW778" s="69"/>
      <c r="AX778" s="69"/>
      <c r="AY778" s="69"/>
      <c r="AZ778" s="69"/>
      <c r="BA778" s="69"/>
      <c r="BB778" s="69"/>
      <c r="BC778" s="69"/>
      <c r="BD778" s="69"/>
      <c r="BE778" s="69"/>
      <c r="BF778" s="69"/>
      <c r="BG778" s="69"/>
      <c r="BH778" s="69"/>
      <c r="BI778" s="69"/>
      <c r="BJ778" s="69"/>
      <c r="BK778" s="69"/>
      <c r="BL778" s="69"/>
      <c r="BM778" s="69"/>
      <c r="BN778" s="69"/>
      <c r="BO778" s="69"/>
      <c r="BP778" s="69"/>
      <c r="BQ778" s="69"/>
      <c r="BR778" s="8"/>
    </row>
    <row r="779" ht="12.0" customHeight="1">
      <c r="A779" s="69"/>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M779" s="78"/>
      <c r="AN779" s="78"/>
      <c r="AO779" s="78"/>
      <c r="AP779" s="78"/>
      <c r="AQ779" s="78"/>
      <c r="AR779" s="69"/>
      <c r="AS779" s="69"/>
      <c r="AT779" s="69"/>
      <c r="AU779" s="69"/>
      <c r="AV779" s="69"/>
      <c r="AW779" s="69"/>
      <c r="AX779" s="69"/>
      <c r="AY779" s="69"/>
      <c r="AZ779" s="69"/>
      <c r="BA779" s="69"/>
      <c r="BB779" s="69"/>
      <c r="BC779" s="69"/>
      <c r="BD779" s="69"/>
      <c r="BE779" s="69"/>
      <c r="BF779" s="69"/>
      <c r="BG779" s="69"/>
      <c r="BH779" s="69"/>
      <c r="BI779" s="69"/>
      <c r="BJ779" s="69"/>
      <c r="BK779" s="69"/>
      <c r="BL779" s="69"/>
      <c r="BM779" s="69"/>
      <c r="BN779" s="69"/>
      <c r="BO779" s="69"/>
      <c r="BP779" s="69"/>
      <c r="BQ779" s="69"/>
      <c r="BR779" s="8"/>
    </row>
    <row r="780" ht="12.0" customHeight="1">
      <c r="A780" s="69"/>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M780" s="78"/>
      <c r="AN780" s="78"/>
      <c r="AO780" s="78"/>
      <c r="AP780" s="78"/>
      <c r="AQ780" s="78"/>
      <c r="AR780" s="69"/>
      <c r="AS780" s="69"/>
      <c r="AT780" s="69"/>
      <c r="AU780" s="69"/>
      <c r="AV780" s="69"/>
      <c r="AW780" s="69"/>
      <c r="AX780" s="69"/>
      <c r="AY780" s="69"/>
      <c r="AZ780" s="69"/>
      <c r="BA780" s="69"/>
      <c r="BB780" s="69"/>
      <c r="BC780" s="69"/>
      <c r="BD780" s="69"/>
      <c r="BE780" s="69"/>
      <c r="BF780" s="69"/>
      <c r="BG780" s="69"/>
      <c r="BH780" s="69"/>
      <c r="BI780" s="69"/>
      <c r="BJ780" s="69"/>
      <c r="BK780" s="69"/>
      <c r="BL780" s="69"/>
      <c r="BM780" s="69"/>
      <c r="BN780" s="69"/>
      <c r="BO780" s="69"/>
      <c r="BP780" s="69"/>
      <c r="BQ780" s="69"/>
      <c r="BR780" s="8"/>
    </row>
    <row r="781" ht="12.0" customHeight="1">
      <c r="A781" s="69"/>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c r="AN781" s="78"/>
      <c r="AO781" s="78"/>
      <c r="AP781" s="78"/>
      <c r="AQ781" s="78"/>
      <c r="AR781" s="69"/>
      <c r="AS781" s="69"/>
      <c r="AT781" s="69"/>
      <c r="AU781" s="69"/>
      <c r="AV781" s="69"/>
      <c r="AW781" s="69"/>
      <c r="AX781" s="69"/>
      <c r="AY781" s="69"/>
      <c r="AZ781" s="69"/>
      <c r="BA781" s="69"/>
      <c r="BB781" s="69"/>
      <c r="BC781" s="69"/>
      <c r="BD781" s="69"/>
      <c r="BE781" s="69"/>
      <c r="BF781" s="69"/>
      <c r="BG781" s="69"/>
      <c r="BH781" s="69"/>
      <c r="BI781" s="69"/>
      <c r="BJ781" s="69"/>
      <c r="BK781" s="69"/>
      <c r="BL781" s="69"/>
      <c r="BM781" s="69"/>
      <c r="BN781" s="69"/>
      <c r="BO781" s="69"/>
      <c r="BP781" s="69"/>
      <c r="BQ781" s="69"/>
      <c r="BR781" s="8"/>
    </row>
    <row r="782" ht="12.0" customHeight="1">
      <c r="A782" s="69"/>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M782" s="78"/>
      <c r="AN782" s="78"/>
      <c r="AO782" s="78"/>
      <c r="AP782" s="78"/>
      <c r="AQ782" s="78"/>
      <c r="AR782" s="69"/>
      <c r="AS782" s="69"/>
      <c r="AT782" s="69"/>
      <c r="AU782" s="69"/>
      <c r="AV782" s="69"/>
      <c r="AW782" s="69"/>
      <c r="AX782" s="69"/>
      <c r="AY782" s="69"/>
      <c r="AZ782" s="69"/>
      <c r="BA782" s="69"/>
      <c r="BB782" s="69"/>
      <c r="BC782" s="69"/>
      <c r="BD782" s="69"/>
      <c r="BE782" s="69"/>
      <c r="BF782" s="69"/>
      <c r="BG782" s="69"/>
      <c r="BH782" s="69"/>
      <c r="BI782" s="69"/>
      <c r="BJ782" s="69"/>
      <c r="BK782" s="69"/>
      <c r="BL782" s="69"/>
      <c r="BM782" s="69"/>
      <c r="BN782" s="69"/>
      <c r="BO782" s="69"/>
      <c r="BP782" s="69"/>
      <c r="BQ782" s="69"/>
      <c r="BR782" s="8"/>
    </row>
    <row r="783" ht="12.0" customHeight="1">
      <c r="A783" s="69"/>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M783" s="78"/>
      <c r="AN783" s="78"/>
      <c r="AO783" s="78"/>
      <c r="AP783" s="78"/>
      <c r="AQ783" s="78"/>
      <c r="AR783" s="69"/>
      <c r="AS783" s="69"/>
      <c r="AT783" s="69"/>
      <c r="AU783" s="69"/>
      <c r="AV783" s="69"/>
      <c r="AW783" s="69"/>
      <c r="AX783" s="69"/>
      <c r="AY783" s="69"/>
      <c r="AZ783" s="69"/>
      <c r="BA783" s="69"/>
      <c r="BB783" s="69"/>
      <c r="BC783" s="69"/>
      <c r="BD783" s="69"/>
      <c r="BE783" s="69"/>
      <c r="BF783" s="69"/>
      <c r="BG783" s="69"/>
      <c r="BH783" s="69"/>
      <c r="BI783" s="69"/>
      <c r="BJ783" s="69"/>
      <c r="BK783" s="69"/>
      <c r="BL783" s="69"/>
      <c r="BM783" s="69"/>
      <c r="BN783" s="69"/>
      <c r="BO783" s="69"/>
      <c r="BP783" s="69"/>
      <c r="BQ783" s="69"/>
      <c r="BR783" s="8"/>
    </row>
    <row r="784" ht="12.0" customHeight="1">
      <c r="A784" s="69"/>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M784" s="78"/>
      <c r="AN784" s="78"/>
      <c r="AO784" s="78"/>
      <c r="AP784" s="78"/>
      <c r="AQ784" s="78"/>
      <c r="AR784" s="69"/>
      <c r="AS784" s="69"/>
      <c r="AT784" s="69"/>
      <c r="AU784" s="69"/>
      <c r="AV784" s="69"/>
      <c r="AW784" s="69"/>
      <c r="AX784" s="69"/>
      <c r="AY784" s="69"/>
      <c r="AZ784" s="69"/>
      <c r="BA784" s="69"/>
      <c r="BB784" s="69"/>
      <c r="BC784" s="69"/>
      <c r="BD784" s="69"/>
      <c r="BE784" s="69"/>
      <c r="BF784" s="69"/>
      <c r="BG784" s="69"/>
      <c r="BH784" s="69"/>
      <c r="BI784" s="69"/>
      <c r="BJ784" s="69"/>
      <c r="BK784" s="69"/>
      <c r="BL784" s="69"/>
      <c r="BM784" s="69"/>
      <c r="BN784" s="69"/>
      <c r="BO784" s="69"/>
      <c r="BP784" s="69"/>
      <c r="BQ784" s="69"/>
      <c r="BR784" s="8"/>
    </row>
    <row r="785" ht="12.0" customHeight="1">
      <c r="A785" s="69"/>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M785" s="78"/>
      <c r="AN785" s="78"/>
      <c r="AO785" s="78"/>
      <c r="AP785" s="78"/>
      <c r="AQ785" s="78"/>
      <c r="AR785" s="69"/>
      <c r="AS785" s="69"/>
      <c r="AT785" s="69"/>
      <c r="AU785" s="69"/>
      <c r="AV785" s="69"/>
      <c r="AW785" s="69"/>
      <c r="AX785" s="69"/>
      <c r="AY785" s="69"/>
      <c r="AZ785" s="69"/>
      <c r="BA785" s="69"/>
      <c r="BB785" s="69"/>
      <c r="BC785" s="69"/>
      <c r="BD785" s="69"/>
      <c r="BE785" s="69"/>
      <c r="BF785" s="69"/>
      <c r="BG785" s="69"/>
      <c r="BH785" s="69"/>
      <c r="BI785" s="69"/>
      <c r="BJ785" s="69"/>
      <c r="BK785" s="69"/>
      <c r="BL785" s="69"/>
      <c r="BM785" s="69"/>
      <c r="BN785" s="69"/>
      <c r="BO785" s="69"/>
      <c r="BP785" s="69"/>
      <c r="BQ785" s="69"/>
      <c r="BR785" s="8"/>
    </row>
    <row r="786" ht="12.0" customHeight="1">
      <c r="A786" s="69"/>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M786" s="78"/>
      <c r="AN786" s="78"/>
      <c r="AO786" s="78"/>
      <c r="AP786" s="78"/>
      <c r="AQ786" s="78"/>
      <c r="AR786" s="69"/>
      <c r="AS786" s="69"/>
      <c r="AT786" s="69"/>
      <c r="AU786" s="69"/>
      <c r="AV786" s="69"/>
      <c r="AW786" s="69"/>
      <c r="AX786" s="69"/>
      <c r="AY786" s="69"/>
      <c r="AZ786" s="69"/>
      <c r="BA786" s="69"/>
      <c r="BB786" s="69"/>
      <c r="BC786" s="69"/>
      <c r="BD786" s="69"/>
      <c r="BE786" s="69"/>
      <c r="BF786" s="69"/>
      <c r="BG786" s="69"/>
      <c r="BH786" s="69"/>
      <c r="BI786" s="69"/>
      <c r="BJ786" s="69"/>
      <c r="BK786" s="69"/>
      <c r="BL786" s="69"/>
      <c r="BM786" s="69"/>
      <c r="BN786" s="69"/>
      <c r="BO786" s="69"/>
      <c r="BP786" s="69"/>
      <c r="BQ786" s="69"/>
      <c r="BR786" s="8"/>
    </row>
    <row r="787" ht="12.0" customHeight="1">
      <c r="A787" s="69"/>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c r="AN787" s="78"/>
      <c r="AO787" s="78"/>
      <c r="AP787" s="78"/>
      <c r="AQ787" s="78"/>
      <c r="AR787" s="69"/>
      <c r="AS787" s="69"/>
      <c r="AT787" s="69"/>
      <c r="AU787" s="69"/>
      <c r="AV787" s="69"/>
      <c r="AW787" s="69"/>
      <c r="AX787" s="69"/>
      <c r="AY787" s="69"/>
      <c r="AZ787" s="69"/>
      <c r="BA787" s="69"/>
      <c r="BB787" s="69"/>
      <c r="BC787" s="69"/>
      <c r="BD787" s="69"/>
      <c r="BE787" s="69"/>
      <c r="BF787" s="69"/>
      <c r="BG787" s="69"/>
      <c r="BH787" s="69"/>
      <c r="BI787" s="69"/>
      <c r="BJ787" s="69"/>
      <c r="BK787" s="69"/>
      <c r="BL787" s="69"/>
      <c r="BM787" s="69"/>
      <c r="BN787" s="69"/>
      <c r="BO787" s="69"/>
      <c r="BP787" s="69"/>
      <c r="BQ787" s="69"/>
      <c r="BR787" s="8"/>
    </row>
    <row r="788" ht="12.0" customHeight="1">
      <c r="A788" s="69"/>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M788" s="78"/>
      <c r="AN788" s="78"/>
      <c r="AO788" s="78"/>
      <c r="AP788" s="78"/>
      <c r="AQ788" s="78"/>
      <c r="AR788" s="69"/>
      <c r="AS788" s="69"/>
      <c r="AT788" s="69"/>
      <c r="AU788" s="69"/>
      <c r="AV788" s="69"/>
      <c r="AW788" s="69"/>
      <c r="AX788" s="69"/>
      <c r="AY788" s="69"/>
      <c r="AZ788" s="69"/>
      <c r="BA788" s="69"/>
      <c r="BB788" s="69"/>
      <c r="BC788" s="69"/>
      <c r="BD788" s="69"/>
      <c r="BE788" s="69"/>
      <c r="BF788" s="69"/>
      <c r="BG788" s="69"/>
      <c r="BH788" s="69"/>
      <c r="BI788" s="69"/>
      <c r="BJ788" s="69"/>
      <c r="BK788" s="69"/>
      <c r="BL788" s="69"/>
      <c r="BM788" s="69"/>
      <c r="BN788" s="69"/>
      <c r="BO788" s="69"/>
      <c r="BP788" s="69"/>
      <c r="BQ788" s="69"/>
      <c r="BR788" s="8"/>
    </row>
    <row r="789" ht="12.0" customHeight="1">
      <c r="A789" s="69"/>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M789" s="78"/>
      <c r="AN789" s="78"/>
      <c r="AO789" s="78"/>
      <c r="AP789" s="78"/>
      <c r="AQ789" s="78"/>
      <c r="AR789" s="69"/>
      <c r="AS789" s="69"/>
      <c r="AT789" s="69"/>
      <c r="AU789" s="69"/>
      <c r="AV789" s="69"/>
      <c r="AW789" s="69"/>
      <c r="AX789" s="69"/>
      <c r="AY789" s="69"/>
      <c r="AZ789" s="69"/>
      <c r="BA789" s="69"/>
      <c r="BB789" s="69"/>
      <c r="BC789" s="69"/>
      <c r="BD789" s="69"/>
      <c r="BE789" s="69"/>
      <c r="BF789" s="69"/>
      <c r="BG789" s="69"/>
      <c r="BH789" s="69"/>
      <c r="BI789" s="69"/>
      <c r="BJ789" s="69"/>
      <c r="BK789" s="69"/>
      <c r="BL789" s="69"/>
      <c r="BM789" s="69"/>
      <c r="BN789" s="69"/>
      <c r="BO789" s="69"/>
      <c r="BP789" s="69"/>
      <c r="BQ789" s="69"/>
      <c r="BR789" s="8"/>
    </row>
    <row r="790" ht="12.0" customHeight="1">
      <c r="A790" s="69"/>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M790" s="78"/>
      <c r="AN790" s="78"/>
      <c r="AO790" s="78"/>
      <c r="AP790" s="78"/>
      <c r="AQ790" s="78"/>
      <c r="AR790" s="69"/>
      <c r="AS790" s="69"/>
      <c r="AT790" s="69"/>
      <c r="AU790" s="69"/>
      <c r="AV790" s="69"/>
      <c r="AW790" s="69"/>
      <c r="AX790" s="69"/>
      <c r="AY790" s="69"/>
      <c r="AZ790" s="69"/>
      <c r="BA790" s="69"/>
      <c r="BB790" s="69"/>
      <c r="BC790" s="69"/>
      <c r="BD790" s="69"/>
      <c r="BE790" s="69"/>
      <c r="BF790" s="69"/>
      <c r="BG790" s="69"/>
      <c r="BH790" s="69"/>
      <c r="BI790" s="69"/>
      <c r="BJ790" s="69"/>
      <c r="BK790" s="69"/>
      <c r="BL790" s="69"/>
      <c r="BM790" s="69"/>
      <c r="BN790" s="69"/>
      <c r="BO790" s="69"/>
      <c r="BP790" s="69"/>
      <c r="BQ790" s="69"/>
      <c r="BR790" s="8"/>
    </row>
    <row r="791" ht="12.0" customHeight="1">
      <c r="A791" s="69"/>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c r="AN791" s="78"/>
      <c r="AO791" s="78"/>
      <c r="AP791" s="78"/>
      <c r="AQ791" s="78"/>
      <c r="AR791" s="69"/>
      <c r="AS791" s="69"/>
      <c r="AT791" s="69"/>
      <c r="AU791" s="69"/>
      <c r="AV791" s="69"/>
      <c r="AW791" s="69"/>
      <c r="AX791" s="69"/>
      <c r="AY791" s="69"/>
      <c r="AZ791" s="69"/>
      <c r="BA791" s="69"/>
      <c r="BB791" s="69"/>
      <c r="BC791" s="69"/>
      <c r="BD791" s="69"/>
      <c r="BE791" s="69"/>
      <c r="BF791" s="69"/>
      <c r="BG791" s="69"/>
      <c r="BH791" s="69"/>
      <c r="BI791" s="69"/>
      <c r="BJ791" s="69"/>
      <c r="BK791" s="69"/>
      <c r="BL791" s="69"/>
      <c r="BM791" s="69"/>
      <c r="BN791" s="69"/>
      <c r="BO791" s="69"/>
      <c r="BP791" s="69"/>
      <c r="BQ791" s="69"/>
      <c r="BR791" s="8"/>
    </row>
    <row r="792" ht="12.0" customHeight="1">
      <c r="A792" s="69"/>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M792" s="78"/>
      <c r="AN792" s="78"/>
      <c r="AO792" s="78"/>
      <c r="AP792" s="78"/>
      <c r="AQ792" s="78"/>
      <c r="AR792" s="69"/>
      <c r="AS792" s="69"/>
      <c r="AT792" s="69"/>
      <c r="AU792" s="69"/>
      <c r="AV792" s="69"/>
      <c r="AW792" s="69"/>
      <c r="AX792" s="69"/>
      <c r="AY792" s="69"/>
      <c r="AZ792" s="69"/>
      <c r="BA792" s="69"/>
      <c r="BB792" s="69"/>
      <c r="BC792" s="69"/>
      <c r="BD792" s="69"/>
      <c r="BE792" s="69"/>
      <c r="BF792" s="69"/>
      <c r="BG792" s="69"/>
      <c r="BH792" s="69"/>
      <c r="BI792" s="69"/>
      <c r="BJ792" s="69"/>
      <c r="BK792" s="69"/>
      <c r="BL792" s="69"/>
      <c r="BM792" s="69"/>
      <c r="BN792" s="69"/>
      <c r="BO792" s="69"/>
      <c r="BP792" s="69"/>
      <c r="BQ792" s="69"/>
      <c r="BR792" s="8"/>
    </row>
    <row r="793" ht="12.0" customHeight="1">
      <c r="A793" s="69"/>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M793" s="78"/>
      <c r="AN793" s="78"/>
      <c r="AO793" s="78"/>
      <c r="AP793" s="78"/>
      <c r="AQ793" s="78"/>
      <c r="AR793" s="69"/>
      <c r="AS793" s="69"/>
      <c r="AT793" s="69"/>
      <c r="AU793" s="69"/>
      <c r="AV793" s="69"/>
      <c r="AW793" s="69"/>
      <c r="AX793" s="69"/>
      <c r="AY793" s="69"/>
      <c r="AZ793" s="69"/>
      <c r="BA793" s="69"/>
      <c r="BB793" s="69"/>
      <c r="BC793" s="69"/>
      <c r="BD793" s="69"/>
      <c r="BE793" s="69"/>
      <c r="BF793" s="69"/>
      <c r="BG793" s="69"/>
      <c r="BH793" s="69"/>
      <c r="BI793" s="69"/>
      <c r="BJ793" s="69"/>
      <c r="BK793" s="69"/>
      <c r="BL793" s="69"/>
      <c r="BM793" s="69"/>
      <c r="BN793" s="69"/>
      <c r="BO793" s="69"/>
      <c r="BP793" s="69"/>
      <c r="BQ793" s="69"/>
      <c r="BR793" s="8"/>
    </row>
    <row r="794" ht="12.0" customHeight="1">
      <c r="A794" s="69"/>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M794" s="78"/>
      <c r="AN794" s="78"/>
      <c r="AO794" s="78"/>
      <c r="AP794" s="78"/>
      <c r="AQ794" s="78"/>
      <c r="AR794" s="69"/>
      <c r="AS794" s="69"/>
      <c r="AT794" s="69"/>
      <c r="AU794" s="69"/>
      <c r="AV794" s="69"/>
      <c r="AW794" s="69"/>
      <c r="AX794" s="69"/>
      <c r="AY794" s="69"/>
      <c r="AZ794" s="69"/>
      <c r="BA794" s="69"/>
      <c r="BB794" s="69"/>
      <c r="BC794" s="69"/>
      <c r="BD794" s="69"/>
      <c r="BE794" s="69"/>
      <c r="BF794" s="69"/>
      <c r="BG794" s="69"/>
      <c r="BH794" s="69"/>
      <c r="BI794" s="69"/>
      <c r="BJ794" s="69"/>
      <c r="BK794" s="69"/>
      <c r="BL794" s="69"/>
      <c r="BM794" s="69"/>
      <c r="BN794" s="69"/>
      <c r="BO794" s="69"/>
      <c r="BP794" s="69"/>
      <c r="BQ794" s="69"/>
      <c r="BR794" s="8"/>
    </row>
    <row r="795" ht="12.0" customHeight="1">
      <c r="A795" s="69"/>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M795" s="78"/>
      <c r="AN795" s="78"/>
      <c r="AO795" s="78"/>
      <c r="AP795" s="78"/>
      <c r="AQ795" s="78"/>
      <c r="AR795" s="69"/>
      <c r="AS795" s="69"/>
      <c r="AT795" s="69"/>
      <c r="AU795" s="69"/>
      <c r="AV795" s="69"/>
      <c r="AW795" s="69"/>
      <c r="AX795" s="69"/>
      <c r="AY795" s="69"/>
      <c r="AZ795" s="69"/>
      <c r="BA795" s="69"/>
      <c r="BB795" s="69"/>
      <c r="BC795" s="69"/>
      <c r="BD795" s="69"/>
      <c r="BE795" s="69"/>
      <c r="BF795" s="69"/>
      <c r="BG795" s="69"/>
      <c r="BH795" s="69"/>
      <c r="BI795" s="69"/>
      <c r="BJ795" s="69"/>
      <c r="BK795" s="69"/>
      <c r="BL795" s="69"/>
      <c r="BM795" s="69"/>
      <c r="BN795" s="69"/>
      <c r="BO795" s="69"/>
      <c r="BP795" s="69"/>
      <c r="BQ795" s="69"/>
      <c r="BR795" s="8"/>
    </row>
    <row r="796" ht="12.0" customHeight="1">
      <c r="A796" s="69"/>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M796" s="78"/>
      <c r="AN796" s="78"/>
      <c r="AO796" s="78"/>
      <c r="AP796" s="78"/>
      <c r="AQ796" s="78"/>
      <c r="AR796" s="69"/>
      <c r="AS796" s="69"/>
      <c r="AT796" s="69"/>
      <c r="AU796" s="69"/>
      <c r="AV796" s="69"/>
      <c r="AW796" s="69"/>
      <c r="AX796" s="69"/>
      <c r="AY796" s="69"/>
      <c r="AZ796" s="69"/>
      <c r="BA796" s="69"/>
      <c r="BB796" s="69"/>
      <c r="BC796" s="69"/>
      <c r="BD796" s="69"/>
      <c r="BE796" s="69"/>
      <c r="BF796" s="69"/>
      <c r="BG796" s="69"/>
      <c r="BH796" s="69"/>
      <c r="BI796" s="69"/>
      <c r="BJ796" s="69"/>
      <c r="BK796" s="69"/>
      <c r="BL796" s="69"/>
      <c r="BM796" s="69"/>
      <c r="BN796" s="69"/>
      <c r="BO796" s="69"/>
      <c r="BP796" s="69"/>
      <c r="BQ796" s="69"/>
      <c r="BR796" s="8"/>
    </row>
    <row r="797" ht="12.0" customHeight="1">
      <c r="A797" s="69"/>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M797" s="78"/>
      <c r="AN797" s="78"/>
      <c r="AO797" s="78"/>
      <c r="AP797" s="78"/>
      <c r="AQ797" s="78"/>
      <c r="AR797" s="69"/>
      <c r="AS797" s="69"/>
      <c r="AT797" s="69"/>
      <c r="AU797" s="69"/>
      <c r="AV797" s="69"/>
      <c r="AW797" s="69"/>
      <c r="AX797" s="69"/>
      <c r="AY797" s="69"/>
      <c r="AZ797" s="69"/>
      <c r="BA797" s="69"/>
      <c r="BB797" s="69"/>
      <c r="BC797" s="69"/>
      <c r="BD797" s="69"/>
      <c r="BE797" s="69"/>
      <c r="BF797" s="69"/>
      <c r="BG797" s="69"/>
      <c r="BH797" s="69"/>
      <c r="BI797" s="69"/>
      <c r="BJ797" s="69"/>
      <c r="BK797" s="69"/>
      <c r="BL797" s="69"/>
      <c r="BM797" s="69"/>
      <c r="BN797" s="69"/>
      <c r="BO797" s="69"/>
      <c r="BP797" s="69"/>
      <c r="BQ797" s="69"/>
      <c r="BR797" s="8"/>
    </row>
    <row r="798" ht="12.0" customHeight="1">
      <c r="A798" s="69"/>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M798" s="78"/>
      <c r="AN798" s="78"/>
      <c r="AO798" s="78"/>
      <c r="AP798" s="78"/>
      <c r="AQ798" s="78"/>
      <c r="AR798" s="69"/>
      <c r="AS798" s="69"/>
      <c r="AT798" s="69"/>
      <c r="AU798" s="69"/>
      <c r="AV798" s="69"/>
      <c r="AW798" s="69"/>
      <c r="AX798" s="69"/>
      <c r="AY798" s="69"/>
      <c r="AZ798" s="69"/>
      <c r="BA798" s="69"/>
      <c r="BB798" s="69"/>
      <c r="BC798" s="69"/>
      <c r="BD798" s="69"/>
      <c r="BE798" s="69"/>
      <c r="BF798" s="69"/>
      <c r="BG798" s="69"/>
      <c r="BH798" s="69"/>
      <c r="BI798" s="69"/>
      <c r="BJ798" s="69"/>
      <c r="BK798" s="69"/>
      <c r="BL798" s="69"/>
      <c r="BM798" s="69"/>
      <c r="BN798" s="69"/>
      <c r="BO798" s="69"/>
      <c r="BP798" s="69"/>
      <c r="BQ798" s="69"/>
      <c r="BR798" s="8"/>
    </row>
    <row r="799" ht="12.0" customHeight="1">
      <c r="A799" s="69"/>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M799" s="78"/>
      <c r="AN799" s="78"/>
      <c r="AO799" s="78"/>
      <c r="AP799" s="78"/>
      <c r="AQ799" s="78"/>
      <c r="AR799" s="69"/>
      <c r="AS799" s="69"/>
      <c r="AT799" s="69"/>
      <c r="AU799" s="69"/>
      <c r="AV799" s="69"/>
      <c r="AW799" s="69"/>
      <c r="AX799" s="69"/>
      <c r="AY799" s="69"/>
      <c r="AZ799" s="69"/>
      <c r="BA799" s="69"/>
      <c r="BB799" s="69"/>
      <c r="BC799" s="69"/>
      <c r="BD799" s="69"/>
      <c r="BE799" s="69"/>
      <c r="BF799" s="69"/>
      <c r="BG799" s="69"/>
      <c r="BH799" s="69"/>
      <c r="BI799" s="69"/>
      <c r="BJ799" s="69"/>
      <c r="BK799" s="69"/>
      <c r="BL799" s="69"/>
      <c r="BM799" s="69"/>
      <c r="BN799" s="69"/>
      <c r="BO799" s="69"/>
      <c r="BP799" s="69"/>
      <c r="BQ799" s="69"/>
      <c r="BR799" s="8"/>
    </row>
    <row r="800" ht="12.0" customHeight="1">
      <c r="A800" s="69"/>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M800" s="78"/>
      <c r="AN800" s="78"/>
      <c r="AO800" s="78"/>
      <c r="AP800" s="78"/>
      <c r="AQ800" s="78"/>
      <c r="AR800" s="69"/>
      <c r="AS800" s="69"/>
      <c r="AT800" s="69"/>
      <c r="AU800" s="69"/>
      <c r="AV800" s="69"/>
      <c r="AW800" s="69"/>
      <c r="AX800" s="69"/>
      <c r="AY800" s="69"/>
      <c r="AZ800" s="69"/>
      <c r="BA800" s="69"/>
      <c r="BB800" s="69"/>
      <c r="BC800" s="69"/>
      <c r="BD800" s="69"/>
      <c r="BE800" s="69"/>
      <c r="BF800" s="69"/>
      <c r="BG800" s="69"/>
      <c r="BH800" s="69"/>
      <c r="BI800" s="69"/>
      <c r="BJ800" s="69"/>
      <c r="BK800" s="69"/>
      <c r="BL800" s="69"/>
      <c r="BM800" s="69"/>
      <c r="BN800" s="69"/>
      <c r="BO800" s="69"/>
      <c r="BP800" s="69"/>
      <c r="BQ800" s="69"/>
      <c r="BR800" s="8"/>
    </row>
    <row r="801" ht="12.0" customHeight="1">
      <c r="A801" s="69"/>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M801" s="78"/>
      <c r="AN801" s="78"/>
      <c r="AO801" s="78"/>
      <c r="AP801" s="78"/>
      <c r="AQ801" s="78"/>
      <c r="AR801" s="69"/>
      <c r="AS801" s="69"/>
      <c r="AT801" s="69"/>
      <c r="AU801" s="69"/>
      <c r="AV801" s="69"/>
      <c r="AW801" s="69"/>
      <c r="AX801" s="69"/>
      <c r="AY801" s="69"/>
      <c r="AZ801" s="69"/>
      <c r="BA801" s="69"/>
      <c r="BB801" s="69"/>
      <c r="BC801" s="69"/>
      <c r="BD801" s="69"/>
      <c r="BE801" s="69"/>
      <c r="BF801" s="69"/>
      <c r="BG801" s="69"/>
      <c r="BH801" s="69"/>
      <c r="BI801" s="69"/>
      <c r="BJ801" s="69"/>
      <c r="BK801" s="69"/>
      <c r="BL801" s="69"/>
      <c r="BM801" s="69"/>
      <c r="BN801" s="69"/>
      <c r="BO801" s="69"/>
      <c r="BP801" s="69"/>
      <c r="BQ801" s="69"/>
      <c r="BR801" s="8"/>
    </row>
    <row r="802" ht="12.0" customHeight="1">
      <c r="A802" s="69"/>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M802" s="78"/>
      <c r="AN802" s="78"/>
      <c r="AO802" s="78"/>
      <c r="AP802" s="78"/>
      <c r="AQ802" s="78"/>
      <c r="AR802" s="69"/>
      <c r="AS802" s="69"/>
      <c r="AT802" s="69"/>
      <c r="AU802" s="69"/>
      <c r="AV802" s="69"/>
      <c r="AW802" s="69"/>
      <c r="AX802" s="69"/>
      <c r="AY802" s="69"/>
      <c r="AZ802" s="69"/>
      <c r="BA802" s="69"/>
      <c r="BB802" s="69"/>
      <c r="BC802" s="69"/>
      <c r="BD802" s="69"/>
      <c r="BE802" s="69"/>
      <c r="BF802" s="69"/>
      <c r="BG802" s="69"/>
      <c r="BH802" s="69"/>
      <c r="BI802" s="69"/>
      <c r="BJ802" s="69"/>
      <c r="BK802" s="69"/>
      <c r="BL802" s="69"/>
      <c r="BM802" s="69"/>
      <c r="BN802" s="69"/>
      <c r="BO802" s="69"/>
      <c r="BP802" s="69"/>
      <c r="BQ802" s="69"/>
      <c r="BR802" s="8"/>
    </row>
    <row r="803" ht="12.0" customHeight="1">
      <c r="A803" s="69"/>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c r="AN803" s="78"/>
      <c r="AO803" s="78"/>
      <c r="AP803" s="78"/>
      <c r="AQ803" s="78"/>
      <c r="AR803" s="69"/>
      <c r="AS803" s="69"/>
      <c r="AT803" s="69"/>
      <c r="AU803" s="69"/>
      <c r="AV803" s="69"/>
      <c r="AW803" s="69"/>
      <c r="AX803" s="69"/>
      <c r="AY803" s="69"/>
      <c r="AZ803" s="69"/>
      <c r="BA803" s="69"/>
      <c r="BB803" s="69"/>
      <c r="BC803" s="69"/>
      <c r="BD803" s="69"/>
      <c r="BE803" s="69"/>
      <c r="BF803" s="69"/>
      <c r="BG803" s="69"/>
      <c r="BH803" s="69"/>
      <c r="BI803" s="69"/>
      <c r="BJ803" s="69"/>
      <c r="BK803" s="69"/>
      <c r="BL803" s="69"/>
      <c r="BM803" s="69"/>
      <c r="BN803" s="69"/>
      <c r="BO803" s="69"/>
      <c r="BP803" s="69"/>
      <c r="BQ803" s="69"/>
      <c r="BR803" s="8"/>
    </row>
    <row r="804" ht="12.0" customHeight="1">
      <c r="A804" s="69"/>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M804" s="78"/>
      <c r="AN804" s="78"/>
      <c r="AO804" s="78"/>
      <c r="AP804" s="78"/>
      <c r="AQ804" s="78"/>
      <c r="AR804" s="69"/>
      <c r="AS804" s="69"/>
      <c r="AT804" s="69"/>
      <c r="AU804" s="69"/>
      <c r="AV804" s="69"/>
      <c r="AW804" s="69"/>
      <c r="AX804" s="69"/>
      <c r="AY804" s="69"/>
      <c r="AZ804" s="69"/>
      <c r="BA804" s="69"/>
      <c r="BB804" s="69"/>
      <c r="BC804" s="69"/>
      <c r="BD804" s="69"/>
      <c r="BE804" s="69"/>
      <c r="BF804" s="69"/>
      <c r="BG804" s="69"/>
      <c r="BH804" s="69"/>
      <c r="BI804" s="69"/>
      <c r="BJ804" s="69"/>
      <c r="BK804" s="69"/>
      <c r="BL804" s="69"/>
      <c r="BM804" s="69"/>
      <c r="BN804" s="69"/>
      <c r="BO804" s="69"/>
      <c r="BP804" s="69"/>
      <c r="BQ804" s="69"/>
      <c r="BR804" s="8"/>
    </row>
    <row r="805" ht="12.0" customHeight="1">
      <c r="A805" s="69"/>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M805" s="78"/>
      <c r="AN805" s="78"/>
      <c r="AO805" s="78"/>
      <c r="AP805" s="78"/>
      <c r="AQ805" s="78"/>
      <c r="AR805" s="69"/>
      <c r="AS805" s="69"/>
      <c r="AT805" s="69"/>
      <c r="AU805" s="69"/>
      <c r="AV805" s="69"/>
      <c r="AW805" s="69"/>
      <c r="AX805" s="69"/>
      <c r="AY805" s="69"/>
      <c r="AZ805" s="69"/>
      <c r="BA805" s="69"/>
      <c r="BB805" s="69"/>
      <c r="BC805" s="69"/>
      <c r="BD805" s="69"/>
      <c r="BE805" s="69"/>
      <c r="BF805" s="69"/>
      <c r="BG805" s="69"/>
      <c r="BH805" s="69"/>
      <c r="BI805" s="69"/>
      <c r="BJ805" s="69"/>
      <c r="BK805" s="69"/>
      <c r="BL805" s="69"/>
      <c r="BM805" s="69"/>
      <c r="BN805" s="69"/>
      <c r="BO805" s="69"/>
      <c r="BP805" s="69"/>
      <c r="BQ805" s="69"/>
      <c r="BR805" s="8"/>
    </row>
    <row r="806" ht="12.0" customHeight="1">
      <c r="A806" s="69"/>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M806" s="78"/>
      <c r="AN806" s="78"/>
      <c r="AO806" s="78"/>
      <c r="AP806" s="78"/>
      <c r="AQ806" s="78"/>
      <c r="AR806" s="69"/>
      <c r="AS806" s="69"/>
      <c r="AT806" s="69"/>
      <c r="AU806" s="69"/>
      <c r="AV806" s="69"/>
      <c r="AW806" s="69"/>
      <c r="AX806" s="69"/>
      <c r="AY806" s="69"/>
      <c r="AZ806" s="69"/>
      <c r="BA806" s="69"/>
      <c r="BB806" s="69"/>
      <c r="BC806" s="69"/>
      <c r="BD806" s="69"/>
      <c r="BE806" s="69"/>
      <c r="BF806" s="69"/>
      <c r="BG806" s="69"/>
      <c r="BH806" s="69"/>
      <c r="BI806" s="69"/>
      <c r="BJ806" s="69"/>
      <c r="BK806" s="69"/>
      <c r="BL806" s="69"/>
      <c r="BM806" s="69"/>
      <c r="BN806" s="69"/>
      <c r="BO806" s="69"/>
      <c r="BP806" s="69"/>
      <c r="BQ806" s="69"/>
      <c r="BR806" s="8"/>
    </row>
    <row r="807" ht="12.0" customHeight="1">
      <c r="A807" s="69"/>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M807" s="78"/>
      <c r="AN807" s="78"/>
      <c r="AO807" s="78"/>
      <c r="AP807" s="78"/>
      <c r="AQ807" s="78"/>
      <c r="AR807" s="69"/>
      <c r="AS807" s="69"/>
      <c r="AT807" s="69"/>
      <c r="AU807" s="69"/>
      <c r="AV807" s="69"/>
      <c r="AW807" s="69"/>
      <c r="AX807" s="69"/>
      <c r="AY807" s="69"/>
      <c r="AZ807" s="69"/>
      <c r="BA807" s="69"/>
      <c r="BB807" s="69"/>
      <c r="BC807" s="69"/>
      <c r="BD807" s="69"/>
      <c r="BE807" s="69"/>
      <c r="BF807" s="69"/>
      <c r="BG807" s="69"/>
      <c r="BH807" s="69"/>
      <c r="BI807" s="69"/>
      <c r="BJ807" s="69"/>
      <c r="BK807" s="69"/>
      <c r="BL807" s="69"/>
      <c r="BM807" s="69"/>
      <c r="BN807" s="69"/>
      <c r="BO807" s="69"/>
      <c r="BP807" s="69"/>
      <c r="BQ807" s="69"/>
      <c r="BR807" s="8"/>
    </row>
    <row r="808" ht="12.0" customHeight="1">
      <c r="A808" s="69"/>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M808" s="78"/>
      <c r="AN808" s="78"/>
      <c r="AO808" s="78"/>
      <c r="AP808" s="78"/>
      <c r="AQ808" s="78"/>
      <c r="AR808" s="69"/>
      <c r="AS808" s="69"/>
      <c r="AT808" s="69"/>
      <c r="AU808" s="69"/>
      <c r="AV808" s="69"/>
      <c r="AW808" s="69"/>
      <c r="AX808" s="69"/>
      <c r="AY808" s="69"/>
      <c r="AZ808" s="69"/>
      <c r="BA808" s="69"/>
      <c r="BB808" s="69"/>
      <c r="BC808" s="69"/>
      <c r="BD808" s="69"/>
      <c r="BE808" s="69"/>
      <c r="BF808" s="69"/>
      <c r="BG808" s="69"/>
      <c r="BH808" s="69"/>
      <c r="BI808" s="69"/>
      <c r="BJ808" s="69"/>
      <c r="BK808" s="69"/>
      <c r="BL808" s="69"/>
      <c r="BM808" s="69"/>
      <c r="BN808" s="69"/>
      <c r="BO808" s="69"/>
      <c r="BP808" s="69"/>
      <c r="BQ808" s="69"/>
      <c r="BR808" s="8"/>
    </row>
    <row r="809" ht="12.0" customHeight="1">
      <c r="A809" s="69"/>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M809" s="78"/>
      <c r="AN809" s="78"/>
      <c r="AO809" s="78"/>
      <c r="AP809" s="78"/>
      <c r="AQ809" s="78"/>
      <c r="AR809" s="69"/>
      <c r="AS809" s="69"/>
      <c r="AT809" s="69"/>
      <c r="AU809" s="69"/>
      <c r="AV809" s="69"/>
      <c r="AW809" s="69"/>
      <c r="AX809" s="69"/>
      <c r="AY809" s="69"/>
      <c r="AZ809" s="69"/>
      <c r="BA809" s="69"/>
      <c r="BB809" s="69"/>
      <c r="BC809" s="69"/>
      <c r="BD809" s="69"/>
      <c r="BE809" s="69"/>
      <c r="BF809" s="69"/>
      <c r="BG809" s="69"/>
      <c r="BH809" s="69"/>
      <c r="BI809" s="69"/>
      <c r="BJ809" s="69"/>
      <c r="BK809" s="69"/>
      <c r="BL809" s="69"/>
      <c r="BM809" s="69"/>
      <c r="BN809" s="69"/>
      <c r="BO809" s="69"/>
      <c r="BP809" s="69"/>
      <c r="BQ809" s="69"/>
      <c r="BR809" s="8"/>
    </row>
    <row r="810" ht="12.0" customHeight="1">
      <c r="A810" s="69"/>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M810" s="78"/>
      <c r="AN810" s="78"/>
      <c r="AO810" s="78"/>
      <c r="AP810" s="78"/>
      <c r="AQ810" s="78"/>
      <c r="AR810" s="69"/>
      <c r="AS810" s="69"/>
      <c r="AT810" s="69"/>
      <c r="AU810" s="69"/>
      <c r="AV810" s="69"/>
      <c r="AW810" s="69"/>
      <c r="AX810" s="69"/>
      <c r="AY810" s="69"/>
      <c r="AZ810" s="69"/>
      <c r="BA810" s="69"/>
      <c r="BB810" s="69"/>
      <c r="BC810" s="69"/>
      <c r="BD810" s="69"/>
      <c r="BE810" s="69"/>
      <c r="BF810" s="69"/>
      <c r="BG810" s="69"/>
      <c r="BH810" s="69"/>
      <c r="BI810" s="69"/>
      <c r="BJ810" s="69"/>
      <c r="BK810" s="69"/>
      <c r="BL810" s="69"/>
      <c r="BM810" s="69"/>
      <c r="BN810" s="69"/>
      <c r="BO810" s="69"/>
      <c r="BP810" s="69"/>
      <c r="BQ810" s="69"/>
      <c r="BR810" s="8"/>
    </row>
    <row r="811" ht="12.0" customHeight="1">
      <c r="A811" s="69"/>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M811" s="78"/>
      <c r="AN811" s="78"/>
      <c r="AO811" s="78"/>
      <c r="AP811" s="78"/>
      <c r="AQ811" s="78"/>
      <c r="AR811" s="69"/>
      <c r="AS811" s="69"/>
      <c r="AT811" s="69"/>
      <c r="AU811" s="69"/>
      <c r="AV811" s="69"/>
      <c r="AW811" s="69"/>
      <c r="AX811" s="69"/>
      <c r="AY811" s="69"/>
      <c r="AZ811" s="69"/>
      <c r="BA811" s="69"/>
      <c r="BB811" s="69"/>
      <c r="BC811" s="69"/>
      <c r="BD811" s="69"/>
      <c r="BE811" s="69"/>
      <c r="BF811" s="69"/>
      <c r="BG811" s="69"/>
      <c r="BH811" s="69"/>
      <c r="BI811" s="69"/>
      <c r="BJ811" s="69"/>
      <c r="BK811" s="69"/>
      <c r="BL811" s="69"/>
      <c r="BM811" s="69"/>
      <c r="BN811" s="69"/>
      <c r="BO811" s="69"/>
      <c r="BP811" s="69"/>
      <c r="BQ811" s="69"/>
      <c r="BR811" s="8"/>
    </row>
    <row r="812" ht="12.0" customHeight="1">
      <c r="A812" s="69"/>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M812" s="78"/>
      <c r="AN812" s="78"/>
      <c r="AO812" s="78"/>
      <c r="AP812" s="78"/>
      <c r="AQ812" s="78"/>
      <c r="AR812" s="69"/>
      <c r="AS812" s="69"/>
      <c r="AT812" s="69"/>
      <c r="AU812" s="69"/>
      <c r="AV812" s="69"/>
      <c r="AW812" s="69"/>
      <c r="AX812" s="69"/>
      <c r="AY812" s="69"/>
      <c r="AZ812" s="69"/>
      <c r="BA812" s="69"/>
      <c r="BB812" s="69"/>
      <c r="BC812" s="69"/>
      <c r="BD812" s="69"/>
      <c r="BE812" s="69"/>
      <c r="BF812" s="69"/>
      <c r="BG812" s="69"/>
      <c r="BH812" s="69"/>
      <c r="BI812" s="69"/>
      <c r="BJ812" s="69"/>
      <c r="BK812" s="69"/>
      <c r="BL812" s="69"/>
      <c r="BM812" s="69"/>
      <c r="BN812" s="69"/>
      <c r="BO812" s="69"/>
      <c r="BP812" s="69"/>
      <c r="BQ812" s="69"/>
      <c r="BR812" s="8"/>
    </row>
    <row r="813" ht="12.0" customHeight="1">
      <c r="A813" s="69"/>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M813" s="78"/>
      <c r="AN813" s="78"/>
      <c r="AO813" s="78"/>
      <c r="AP813" s="78"/>
      <c r="AQ813" s="78"/>
      <c r="AR813" s="69"/>
      <c r="AS813" s="69"/>
      <c r="AT813" s="69"/>
      <c r="AU813" s="69"/>
      <c r="AV813" s="69"/>
      <c r="AW813" s="69"/>
      <c r="AX813" s="69"/>
      <c r="AY813" s="69"/>
      <c r="AZ813" s="69"/>
      <c r="BA813" s="69"/>
      <c r="BB813" s="69"/>
      <c r="BC813" s="69"/>
      <c r="BD813" s="69"/>
      <c r="BE813" s="69"/>
      <c r="BF813" s="69"/>
      <c r="BG813" s="69"/>
      <c r="BH813" s="69"/>
      <c r="BI813" s="69"/>
      <c r="BJ813" s="69"/>
      <c r="BK813" s="69"/>
      <c r="BL813" s="69"/>
      <c r="BM813" s="69"/>
      <c r="BN813" s="69"/>
      <c r="BO813" s="69"/>
      <c r="BP813" s="69"/>
      <c r="BQ813" s="69"/>
      <c r="BR813" s="8"/>
    </row>
    <row r="814" ht="12.0" customHeight="1">
      <c r="A814" s="69"/>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c r="AN814" s="78"/>
      <c r="AO814" s="78"/>
      <c r="AP814" s="78"/>
      <c r="AQ814" s="78"/>
      <c r="AR814" s="69"/>
      <c r="AS814" s="69"/>
      <c r="AT814" s="69"/>
      <c r="AU814" s="69"/>
      <c r="AV814" s="69"/>
      <c r="AW814" s="69"/>
      <c r="AX814" s="69"/>
      <c r="AY814" s="69"/>
      <c r="AZ814" s="69"/>
      <c r="BA814" s="69"/>
      <c r="BB814" s="69"/>
      <c r="BC814" s="69"/>
      <c r="BD814" s="69"/>
      <c r="BE814" s="69"/>
      <c r="BF814" s="69"/>
      <c r="BG814" s="69"/>
      <c r="BH814" s="69"/>
      <c r="BI814" s="69"/>
      <c r="BJ814" s="69"/>
      <c r="BK814" s="69"/>
      <c r="BL814" s="69"/>
      <c r="BM814" s="69"/>
      <c r="BN814" s="69"/>
      <c r="BO814" s="69"/>
      <c r="BP814" s="69"/>
      <c r="BQ814" s="69"/>
      <c r="BR814" s="8"/>
    </row>
    <row r="815" ht="12.0" customHeight="1">
      <c r="A815" s="69"/>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M815" s="78"/>
      <c r="AN815" s="78"/>
      <c r="AO815" s="78"/>
      <c r="AP815" s="78"/>
      <c r="AQ815" s="78"/>
      <c r="AR815" s="69"/>
      <c r="AS815" s="69"/>
      <c r="AT815" s="69"/>
      <c r="AU815" s="69"/>
      <c r="AV815" s="69"/>
      <c r="AW815" s="69"/>
      <c r="AX815" s="69"/>
      <c r="AY815" s="69"/>
      <c r="AZ815" s="69"/>
      <c r="BA815" s="69"/>
      <c r="BB815" s="69"/>
      <c r="BC815" s="69"/>
      <c r="BD815" s="69"/>
      <c r="BE815" s="69"/>
      <c r="BF815" s="69"/>
      <c r="BG815" s="69"/>
      <c r="BH815" s="69"/>
      <c r="BI815" s="69"/>
      <c r="BJ815" s="69"/>
      <c r="BK815" s="69"/>
      <c r="BL815" s="69"/>
      <c r="BM815" s="69"/>
      <c r="BN815" s="69"/>
      <c r="BO815" s="69"/>
      <c r="BP815" s="69"/>
      <c r="BQ815" s="69"/>
      <c r="BR815" s="8"/>
    </row>
    <row r="816" ht="12.0" customHeight="1">
      <c r="A816" s="69"/>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M816" s="78"/>
      <c r="AN816" s="78"/>
      <c r="AO816" s="78"/>
      <c r="AP816" s="78"/>
      <c r="AQ816" s="78"/>
      <c r="AR816" s="69"/>
      <c r="AS816" s="69"/>
      <c r="AT816" s="69"/>
      <c r="AU816" s="69"/>
      <c r="AV816" s="69"/>
      <c r="AW816" s="69"/>
      <c r="AX816" s="69"/>
      <c r="AY816" s="69"/>
      <c r="AZ816" s="69"/>
      <c r="BA816" s="69"/>
      <c r="BB816" s="69"/>
      <c r="BC816" s="69"/>
      <c r="BD816" s="69"/>
      <c r="BE816" s="69"/>
      <c r="BF816" s="69"/>
      <c r="BG816" s="69"/>
      <c r="BH816" s="69"/>
      <c r="BI816" s="69"/>
      <c r="BJ816" s="69"/>
      <c r="BK816" s="69"/>
      <c r="BL816" s="69"/>
      <c r="BM816" s="69"/>
      <c r="BN816" s="69"/>
      <c r="BO816" s="69"/>
      <c r="BP816" s="69"/>
      <c r="BQ816" s="69"/>
      <c r="BR816" s="8"/>
    </row>
    <row r="817" ht="12.0" customHeight="1">
      <c r="A817" s="69"/>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M817" s="78"/>
      <c r="AN817" s="78"/>
      <c r="AO817" s="78"/>
      <c r="AP817" s="78"/>
      <c r="AQ817" s="78"/>
      <c r="AR817" s="69"/>
      <c r="AS817" s="69"/>
      <c r="AT817" s="69"/>
      <c r="AU817" s="69"/>
      <c r="AV817" s="69"/>
      <c r="AW817" s="69"/>
      <c r="AX817" s="69"/>
      <c r="AY817" s="69"/>
      <c r="AZ817" s="69"/>
      <c r="BA817" s="69"/>
      <c r="BB817" s="69"/>
      <c r="BC817" s="69"/>
      <c r="BD817" s="69"/>
      <c r="BE817" s="69"/>
      <c r="BF817" s="69"/>
      <c r="BG817" s="69"/>
      <c r="BH817" s="69"/>
      <c r="BI817" s="69"/>
      <c r="BJ817" s="69"/>
      <c r="BK817" s="69"/>
      <c r="BL817" s="69"/>
      <c r="BM817" s="69"/>
      <c r="BN817" s="69"/>
      <c r="BO817" s="69"/>
      <c r="BP817" s="69"/>
      <c r="BQ817" s="69"/>
      <c r="BR817" s="8"/>
    </row>
    <row r="818" ht="12.0" customHeight="1">
      <c r="A818" s="69"/>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M818" s="78"/>
      <c r="AN818" s="78"/>
      <c r="AO818" s="78"/>
      <c r="AP818" s="78"/>
      <c r="AQ818" s="78"/>
      <c r="AR818" s="69"/>
      <c r="AS818" s="69"/>
      <c r="AT818" s="69"/>
      <c r="AU818" s="69"/>
      <c r="AV818" s="69"/>
      <c r="AW818" s="69"/>
      <c r="AX818" s="69"/>
      <c r="AY818" s="69"/>
      <c r="AZ818" s="69"/>
      <c r="BA818" s="69"/>
      <c r="BB818" s="69"/>
      <c r="BC818" s="69"/>
      <c r="BD818" s="69"/>
      <c r="BE818" s="69"/>
      <c r="BF818" s="69"/>
      <c r="BG818" s="69"/>
      <c r="BH818" s="69"/>
      <c r="BI818" s="69"/>
      <c r="BJ818" s="69"/>
      <c r="BK818" s="69"/>
      <c r="BL818" s="69"/>
      <c r="BM818" s="69"/>
      <c r="BN818" s="69"/>
      <c r="BO818" s="69"/>
      <c r="BP818" s="69"/>
      <c r="BQ818" s="69"/>
      <c r="BR818" s="8"/>
    </row>
    <row r="819" ht="12.0" customHeight="1">
      <c r="A819" s="69"/>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c r="AN819" s="78"/>
      <c r="AO819" s="78"/>
      <c r="AP819" s="78"/>
      <c r="AQ819" s="78"/>
      <c r="AR819" s="69"/>
      <c r="AS819" s="69"/>
      <c r="AT819" s="69"/>
      <c r="AU819" s="69"/>
      <c r="AV819" s="69"/>
      <c r="AW819" s="69"/>
      <c r="AX819" s="69"/>
      <c r="AY819" s="69"/>
      <c r="AZ819" s="69"/>
      <c r="BA819" s="69"/>
      <c r="BB819" s="69"/>
      <c r="BC819" s="69"/>
      <c r="BD819" s="69"/>
      <c r="BE819" s="69"/>
      <c r="BF819" s="69"/>
      <c r="BG819" s="69"/>
      <c r="BH819" s="69"/>
      <c r="BI819" s="69"/>
      <c r="BJ819" s="69"/>
      <c r="BK819" s="69"/>
      <c r="BL819" s="69"/>
      <c r="BM819" s="69"/>
      <c r="BN819" s="69"/>
      <c r="BO819" s="69"/>
      <c r="BP819" s="69"/>
      <c r="BQ819" s="69"/>
      <c r="BR819" s="8"/>
    </row>
    <row r="820" ht="12.0" customHeight="1">
      <c r="A820" s="69"/>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M820" s="78"/>
      <c r="AN820" s="78"/>
      <c r="AO820" s="78"/>
      <c r="AP820" s="78"/>
      <c r="AQ820" s="78"/>
      <c r="AR820" s="69"/>
      <c r="AS820" s="69"/>
      <c r="AT820" s="69"/>
      <c r="AU820" s="69"/>
      <c r="AV820" s="69"/>
      <c r="AW820" s="69"/>
      <c r="AX820" s="69"/>
      <c r="AY820" s="69"/>
      <c r="AZ820" s="69"/>
      <c r="BA820" s="69"/>
      <c r="BB820" s="69"/>
      <c r="BC820" s="69"/>
      <c r="BD820" s="69"/>
      <c r="BE820" s="69"/>
      <c r="BF820" s="69"/>
      <c r="BG820" s="69"/>
      <c r="BH820" s="69"/>
      <c r="BI820" s="69"/>
      <c r="BJ820" s="69"/>
      <c r="BK820" s="69"/>
      <c r="BL820" s="69"/>
      <c r="BM820" s="69"/>
      <c r="BN820" s="69"/>
      <c r="BO820" s="69"/>
      <c r="BP820" s="69"/>
      <c r="BQ820" s="69"/>
      <c r="BR820" s="8"/>
    </row>
    <row r="821" ht="12.0" customHeight="1">
      <c r="A821" s="69"/>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M821" s="78"/>
      <c r="AN821" s="78"/>
      <c r="AO821" s="78"/>
      <c r="AP821" s="78"/>
      <c r="AQ821" s="78"/>
      <c r="AR821" s="69"/>
      <c r="AS821" s="69"/>
      <c r="AT821" s="69"/>
      <c r="AU821" s="69"/>
      <c r="AV821" s="69"/>
      <c r="AW821" s="69"/>
      <c r="AX821" s="69"/>
      <c r="AY821" s="69"/>
      <c r="AZ821" s="69"/>
      <c r="BA821" s="69"/>
      <c r="BB821" s="69"/>
      <c r="BC821" s="69"/>
      <c r="BD821" s="69"/>
      <c r="BE821" s="69"/>
      <c r="BF821" s="69"/>
      <c r="BG821" s="69"/>
      <c r="BH821" s="69"/>
      <c r="BI821" s="69"/>
      <c r="BJ821" s="69"/>
      <c r="BK821" s="69"/>
      <c r="BL821" s="69"/>
      <c r="BM821" s="69"/>
      <c r="BN821" s="69"/>
      <c r="BO821" s="69"/>
      <c r="BP821" s="69"/>
      <c r="BQ821" s="69"/>
      <c r="BR821" s="8"/>
    </row>
    <row r="822" ht="12.0" customHeight="1">
      <c r="A822" s="69"/>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M822" s="78"/>
      <c r="AN822" s="78"/>
      <c r="AO822" s="78"/>
      <c r="AP822" s="78"/>
      <c r="AQ822" s="78"/>
      <c r="AR822" s="69"/>
      <c r="AS822" s="69"/>
      <c r="AT822" s="69"/>
      <c r="AU822" s="69"/>
      <c r="AV822" s="69"/>
      <c r="AW822" s="69"/>
      <c r="AX822" s="69"/>
      <c r="AY822" s="69"/>
      <c r="AZ822" s="69"/>
      <c r="BA822" s="69"/>
      <c r="BB822" s="69"/>
      <c r="BC822" s="69"/>
      <c r="BD822" s="69"/>
      <c r="BE822" s="69"/>
      <c r="BF822" s="69"/>
      <c r="BG822" s="69"/>
      <c r="BH822" s="69"/>
      <c r="BI822" s="69"/>
      <c r="BJ822" s="69"/>
      <c r="BK822" s="69"/>
      <c r="BL822" s="69"/>
      <c r="BM822" s="69"/>
      <c r="BN822" s="69"/>
      <c r="BO822" s="69"/>
      <c r="BP822" s="69"/>
      <c r="BQ822" s="69"/>
      <c r="BR822" s="8"/>
    </row>
    <row r="823" ht="12.0" customHeight="1">
      <c r="A823" s="69"/>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M823" s="78"/>
      <c r="AN823" s="78"/>
      <c r="AO823" s="78"/>
      <c r="AP823" s="78"/>
      <c r="AQ823" s="78"/>
      <c r="AR823" s="69"/>
      <c r="AS823" s="69"/>
      <c r="AT823" s="69"/>
      <c r="AU823" s="69"/>
      <c r="AV823" s="69"/>
      <c r="AW823" s="69"/>
      <c r="AX823" s="69"/>
      <c r="AY823" s="69"/>
      <c r="AZ823" s="69"/>
      <c r="BA823" s="69"/>
      <c r="BB823" s="69"/>
      <c r="BC823" s="69"/>
      <c r="BD823" s="69"/>
      <c r="BE823" s="69"/>
      <c r="BF823" s="69"/>
      <c r="BG823" s="69"/>
      <c r="BH823" s="69"/>
      <c r="BI823" s="69"/>
      <c r="BJ823" s="69"/>
      <c r="BK823" s="69"/>
      <c r="BL823" s="69"/>
      <c r="BM823" s="69"/>
      <c r="BN823" s="69"/>
      <c r="BO823" s="69"/>
      <c r="BP823" s="69"/>
      <c r="BQ823" s="69"/>
      <c r="BR823" s="8"/>
    </row>
    <row r="824" ht="12.0" customHeight="1">
      <c r="A824" s="69"/>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M824" s="78"/>
      <c r="AN824" s="78"/>
      <c r="AO824" s="78"/>
      <c r="AP824" s="78"/>
      <c r="AQ824" s="78"/>
      <c r="AR824" s="69"/>
      <c r="AS824" s="69"/>
      <c r="AT824" s="69"/>
      <c r="AU824" s="69"/>
      <c r="AV824" s="69"/>
      <c r="AW824" s="69"/>
      <c r="AX824" s="69"/>
      <c r="AY824" s="69"/>
      <c r="AZ824" s="69"/>
      <c r="BA824" s="69"/>
      <c r="BB824" s="69"/>
      <c r="BC824" s="69"/>
      <c r="BD824" s="69"/>
      <c r="BE824" s="69"/>
      <c r="BF824" s="69"/>
      <c r="BG824" s="69"/>
      <c r="BH824" s="69"/>
      <c r="BI824" s="69"/>
      <c r="BJ824" s="69"/>
      <c r="BK824" s="69"/>
      <c r="BL824" s="69"/>
      <c r="BM824" s="69"/>
      <c r="BN824" s="69"/>
      <c r="BO824" s="69"/>
      <c r="BP824" s="69"/>
      <c r="BQ824" s="69"/>
      <c r="BR824" s="8"/>
    </row>
    <row r="825" ht="12.0" customHeight="1">
      <c r="A825" s="69"/>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M825" s="78"/>
      <c r="AN825" s="78"/>
      <c r="AO825" s="78"/>
      <c r="AP825" s="78"/>
      <c r="AQ825" s="78"/>
      <c r="AR825" s="69"/>
      <c r="AS825" s="69"/>
      <c r="AT825" s="69"/>
      <c r="AU825" s="69"/>
      <c r="AV825" s="69"/>
      <c r="AW825" s="69"/>
      <c r="AX825" s="69"/>
      <c r="AY825" s="69"/>
      <c r="AZ825" s="69"/>
      <c r="BA825" s="69"/>
      <c r="BB825" s="69"/>
      <c r="BC825" s="69"/>
      <c r="BD825" s="69"/>
      <c r="BE825" s="69"/>
      <c r="BF825" s="69"/>
      <c r="BG825" s="69"/>
      <c r="BH825" s="69"/>
      <c r="BI825" s="69"/>
      <c r="BJ825" s="69"/>
      <c r="BK825" s="69"/>
      <c r="BL825" s="69"/>
      <c r="BM825" s="69"/>
      <c r="BN825" s="69"/>
      <c r="BO825" s="69"/>
      <c r="BP825" s="69"/>
      <c r="BQ825" s="69"/>
      <c r="BR825" s="8"/>
    </row>
    <row r="826" ht="12.0" customHeight="1">
      <c r="A826" s="69"/>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M826" s="78"/>
      <c r="AN826" s="78"/>
      <c r="AO826" s="78"/>
      <c r="AP826" s="78"/>
      <c r="AQ826" s="78"/>
      <c r="AR826" s="69"/>
      <c r="AS826" s="69"/>
      <c r="AT826" s="69"/>
      <c r="AU826" s="69"/>
      <c r="AV826" s="69"/>
      <c r="AW826" s="69"/>
      <c r="AX826" s="69"/>
      <c r="AY826" s="69"/>
      <c r="AZ826" s="69"/>
      <c r="BA826" s="69"/>
      <c r="BB826" s="69"/>
      <c r="BC826" s="69"/>
      <c r="BD826" s="69"/>
      <c r="BE826" s="69"/>
      <c r="BF826" s="69"/>
      <c r="BG826" s="69"/>
      <c r="BH826" s="69"/>
      <c r="BI826" s="69"/>
      <c r="BJ826" s="69"/>
      <c r="BK826" s="69"/>
      <c r="BL826" s="69"/>
      <c r="BM826" s="69"/>
      <c r="BN826" s="69"/>
      <c r="BO826" s="69"/>
      <c r="BP826" s="69"/>
      <c r="BQ826" s="69"/>
      <c r="BR826" s="8"/>
    </row>
    <row r="827" ht="12.0" customHeight="1">
      <c r="A827" s="69"/>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M827" s="78"/>
      <c r="AN827" s="78"/>
      <c r="AO827" s="78"/>
      <c r="AP827" s="78"/>
      <c r="AQ827" s="78"/>
      <c r="AR827" s="69"/>
      <c r="AS827" s="69"/>
      <c r="AT827" s="69"/>
      <c r="AU827" s="69"/>
      <c r="AV827" s="69"/>
      <c r="AW827" s="69"/>
      <c r="AX827" s="69"/>
      <c r="AY827" s="69"/>
      <c r="AZ827" s="69"/>
      <c r="BA827" s="69"/>
      <c r="BB827" s="69"/>
      <c r="BC827" s="69"/>
      <c r="BD827" s="69"/>
      <c r="BE827" s="69"/>
      <c r="BF827" s="69"/>
      <c r="BG827" s="69"/>
      <c r="BH827" s="69"/>
      <c r="BI827" s="69"/>
      <c r="BJ827" s="69"/>
      <c r="BK827" s="69"/>
      <c r="BL827" s="69"/>
      <c r="BM827" s="69"/>
      <c r="BN827" s="69"/>
      <c r="BO827" s="69"/>
      <c r="BP827" s="69"/>
      <c r="BQ827" s="69"/>
      <c r="BR827" s="8"/>
    </row>
    <row r="828" ht="12.0" customHeight="1">
      <c r="A828" s="69"/>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c r="AN828" s="78"/>
      <c r="AO828" s="78"/>
      <c r="AP828" s="78"/>
      <c r="AQ828" s="78"/>
      <c r="AR828" s="69"/>
      <c r="AS828" s="69"/>
      <c r="AT828" s="69"/>
      <c r="AU828" s="69"/>
      <c r="AV828" s="69"/>
      <c r="AW828" s="69"/>
      <c r="AX828" s="69"/>
      <c r="AY828" s="69"/>
      <c r="AZ828" s="69"/>
      <c r="BA828" s="69"/>
      <c r="BB828" s="69"/>
      <c r="BC828" s="69"/>
      <c r="BD828" s="69"/>
      <c r="BE828" s="69"/>
      <c r="BF828" s="69"/>
      <c r="BG828" s="69"/>
      <c r="BH828" s="69"/>
      <c r="BI828" s="69"/>
      <c r="BJ828" s="69"/>
      <c r="BK828" s="69"/>
      <c r="BL828" s="69"/>
      <c r="BM828" s="69"/>
      <c r="BN828" s="69"/>
      <c r="BO828" s="69"/>
      <c r="BP828" s="69"/>
      <c r="BQ828" s="69"/>
      <c r="BR828" s="8"/>
    </row>
    <row r="829" ht="12.0" customHeight="1">
      <c r="A829" s="69"/>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M829" s="78"/>
      <c r="AN829" s="78"/>
      <c r="AO829" s="78"/>
      <c r="AP829" s="78"/>
      <c r="AQ829" s="78"/>
      <c r="AR829" s="69"/>
      <c r="AS829" s="69"/>
      <c r="AT829" s="69"/>
      <c r="AU829" s="69"/>
      <c r="AV829" s="69"/>
      <c r="AW829" s="69"/>
      <c r="AX829" s="69"/>
      <c r="AY829" s="69"/>
      <c r="AZ829" s="69"/>
      <c r="BA829" s="69"/>
      <c r="BB829" s="69"/>
      <c r="BC829" s="69"/>
      <c r="BD829" s="69"/>
      <c r="BE829" s="69"/>
      <c r="BF829" s="69"/>
      <c r="BG829" s="69"/>
      <c r="BH829" s="69"/>
      <c r="BI829" s="69"/>
      <c r="BJ829" s="69"/>
      <c r="BK829" s="69"/>
      <c r="BL829" s="69"/>
      <c r="BM829" s="69"/>
      <c r="BN829" s="69"/>
      <c r="BO829" s="69"/>
      <c r="BP829" s="69"/>
      <c r="BQ829" s="69"/>
      <c r="BR829" s="8"/>
    </row>
    <row r="830" ht="12.0" customHeight="1">
      <c r="A830" s="69"/>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c r="AN830" s="78"/>
      <c r="AO830" s="78"/>
      <c r="AP830" s="78"/>
      <c r="AQ830" s="78"/>
      <c r="AR830" s="69"/>
      <c r="AS830" s="69"/>
      <c r="AT830" s="69"/>
      <c r="AU830" s="69"/>
      <c r="AV830" s="69"/>
      <c r="AW830" s="69"/>
      <c r="AX830" s="69"/>
      <c r="AY830" s="69"/>
      <c r="AZ830" s="69"/>
      <c r="BA830" s="69"/>
      <c r="BB830" s="69"/>
      <c r="BC830" s="69"/>
      <c r="BD830" s="69"/>
      <c r="BE830" s="69"/>
      <c r="BF830" s="69"/>
      <c r="BG830" s="69"/>
      <c r="BH830" s="69"/>
      <c r="BI830" s="69"/>
      <c r="BJ830" s="69"/>
      <c r="BK830" s="69"/>
      <c r="BL830" s="69"/>
      <c r="BM830" s="69"/>
      <c r="BN830" s="69"/>
      <c r="BO830" s="69"/>
      <c r="BP830" s="69"/>
      <c r="BQ830" s="69"/>
      <c r="BR830" s="8"/>
    </row>
    <row r="831" ht="12.0" customHeight="1">
      <c r="A831" s="69"/>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M831" s="78"/>
      <c r="AN831" s="78"/>
      <c r="AO831" s="78"/>
      <c r="AP831" s="78"/>
      <c r="AQ831" s="78"/>
      <c r="AR831" s="69"/>
      <c r="AS831" s="69"/>
      <c r="AT831" s="69"/>
      <c r="AU831" s="69"/>
      <c r="AV831" s="69"/>
      <c r="AW831" s="69"/>
      <c r="AX831" s="69"/>
      <c r="AY831" s="69"/>
      <c r="AZ831" s="69"/>
      <c r="BA831" s="69"/>
      <c r="BB831" s="69"/>
      <c r="BC831" s="69"/>
      <c r="BD831" s="69"/>
      <c r="BE831" s="69"/>
      <c r="BF831" s="69"/>
      <c r="BG831" s="69"/>
      <c r="BH831" s="69"/>
      <c r="BI831" s="69"/>
      <c r="BJ831" s="69"/>
      <c r="BK831" s="69"/>
      <c r="BL831" s="69"/>
      <c r="BM831" s="69"/>
      <c r="BN831" s="69"/>
      <c r="BO831" s="69"/>
      <c r="BP831" s="69"/>
      <c r="BQ831" s="69"/>
      <c r="BR831" s="8"/>
    </row>
    <row r="832" ht="12.0" customHeight="1">
      <c r="A832" s="69"/>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c r="AN832" s="78"/>
      <c r="AO832" s="78"/>
      <c r="AP832" s="78"/>
      <c r="AQ832" s="78"/>
      <c r="AR832" s="69"/>
      <c r="AS832" s="69"/>
      <c r="AT832" s="69"/>
      <c r="AU832" s="69"/>
      <c r="AV832" s="69"/>
      <c r="AW832" s="69"/>
      <c r="AX832" s="69"/>
      <c r="AY832" s="69"/>
      <c r="AZ832" s="69"/>
      <c r="BA832" s="69"/>
      <c r="BB832" s="69"/>
      <c r="BC832" s="69"/>
      <c r="BD832" s="69"/>
      <c r="BE832" s="69"/>
      <c r="BF832" s="69"/>
      <c r="BG832" s="69"/>
      <c r="BH832" s="69"/>
      <c r="BI832" s="69"/>
      <c r="BJ832" s="69"/>
      <c r="BK832" s="69"/>
      <c r="BL832" s="69"/>
      <c r="BM832" s="69"/>
      <c r="BN832" s="69"/>
      <c r="BO832" s="69"/>
      <c r="BP832" s="69"/>
      <c r="BQ832" s="69"/>
      <c r="BR832" s="8"/>
    </row>
    <row r="833" ht="12.0" customHeight="1">
      <c r="A833" s="69"/>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c r="AN833" s="78"/>
      <c r="AO833" s="78"/>
      <c r="AP833" s="78"/>
      <c r="AQ833" s="78"/>
      <c r="AR833" s="69"/>
      <c r="AS833" s="69"/>
      <c r="AT833" s="69"/>
      <c r="AU833" s="69"/>
      <c r="AV833" s="69"/>
      <c r="AW833" s="69"/>
      <c r="AX833" s="69"/>
      <c r="AY833" s="69"/>
      <c r="AZ833" s="69"/>
      <c r="BA833" s="69"/>
      <c r="BB833" s="69"/>
      <c r="BC833" s="69"/>
      <c r="BD833" s="69"/>
      <c r="BE833" s="69"/>
      <c r="BF833" s="69"/>
      <c r="BG833" s="69"/>
      <c r="BH833" s="69"/>
      <c r="BI833" s="69"/>
      <c r="BJ833" s="69"/>
      <c r="BK833" s="69"/>
      <c r="BL833" s="69"/>
      <c r="BM833" s="69"/>
      <c r="BN833" s="69"/>
      <c r="BO833" s="69"/>
      <c r="BP833" s="69"/>
      <c r="BQ833" s="69"/>
      <c r="BR833" s="8"/>
    </row>
    <row r="834" ht="12.0" customHeight="1">
      <c r="A834" s="69"/>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M834" s="78"/>
      <c r="AN834" s="78"/>
      <c r="AO834" s="78"/>
      <c r="AP834" s="78"/>
      <c r="AQ834" s="78"/>
      <c r="AR834" s="69"/>
      <c r="AS834" s="69"/>
      <c r="AT834" s="69"/>
      <c r="AU834" s="69"/>
      <c r="AV834" s="69"/>
      <c r="AW834" s="69"/>
      <c r="AX834" s="69"/>
      <c r="AY834" s="69"/>
      <c r="AZ834" s="69"/>
      <c r="BA834" s="69"/>
      <c r="BB834" s="69"/>
      <c r="BC834" s="69"/>
      <c r="BD834" s="69"/>
      <c r="BE834" s="69"/>
      <c r="BF834" s="69"/>
      <c r="BG834" s="69"/>
      <c r="BH834" s="69"/>
      <c r="BI834" s="69"/>
      <c r="BJ834" s="69"/>
      <c r="BK834" s="69"/>
      <c r="BL834" s="69"/>
      <c r="BM834" s="69"/>
      <c r="BN834" s="69"/>
      <c r="BO834" s="69"/>
      <c r="BP834" s="69"/>
      <c r="BQ834" s="69"/>
      <c r="BR834" s="8"/>
    </row>
    <row r="835" ht="12.0" customHeight="1">
      <c r="A835" s="69"/>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c r="AN835" s="78"/>
      <c r="AO835" s="78"/>
      <c r="AP835" s="78"/>
      <c r="AQ835" s="78"/>
      <c r="AR835" s="69"/>
      <c r="AS835" s="69"/>
      <c r="AT835" s="69"/>
      <c r="AU835" s="69"/>
      <c r="AV835" s="69"/>
      <c r="AW835" s="69"/>
      <c r="AX835" s="69"/>
      <c r="AY835" s="69"/>
      <c r="AZ835" s="69"/>
      <c r="BA835" s="69"/>
      <c r="BB835" s="69"/>
      <c r="BC835" s="69"/>
      <c r="BD835" s="69"/>
      <c r="BE835" s="69"/>
      <c r="BF835" s="69"/>
      <c r="BG835" s="69"/>
      <c r="BH835" s="69"/>
      <c r="BI835" s="69"/>
      <c r="BJ835" s="69"/>
      <c r="BK835" s="69"/>
      <c r="BL835" s="69"/>
      <c r="BM835" s="69"/>
      <c r="BN835" s="69"/>
      <c r="BO835" s="69"/>
      <c r="BP835" s="69"/>
      <c r="BQ835" s="69"/>
      <c r="BR835" s="8"/>
    </row>
    <row r="836" ht="12.0" customHeight="1">
      <c r="A836" s="69"/>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M836" s="78"/>
      <c r="AN836" s="78"/>
      <c r="AO836" s="78"/>
      <c r="AP836" s="78"/>
      <c r="AQ836" s="78"/>
      <c r="AR836" s="69"/>
      <c r="AS836" s="69"/>
      <c r="AT836" s="69"/>
      <c r="AU836" s="69"/>
      <c r="AV836" s="69"/>
      <c r="AW836" s="69"/>
      <c r="AX836" s="69"/>
      <c r="AY836" s="69"/>
      <c r="AZ836" s="69"/>
      <c r="BA836" s="69"/>
      <c r="BB836" s="69"/>
      <c r="BC836" s="69"/>
      <c r="BD836" s="69"/>
      <c r="BE836" s="69"/>
      <c r="BF836" s="69"/>
      <c r="BG836" s="69"/>
      <c r="BH836" s="69"/>
      <c r="BI836" s="69"/>
      <c r="BJ836" s="69"/>
      <c r="BK836" s="69"/>
      <c r="BL836" s="69"/>
      <c r="BM836" s="69"/>
      <c r="BN836" s="69"/>
      <c r="BO836" s="69"/>
      <c r="BP836" s="69"/>
      <c r="BQ836" s="69"/>
      <c r="BR836" s="8"/>
    </row>
    <row r="837" ht="12.0" customHeight="1">
      <c r="A837" s="69"/>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c r="AN837" s="78"/>
      <c r="AO837" s="78"/>
      <c r="AP837" s="78"/>
      <c r="AQ837" s="78"/>
      <c r="AR837" s="69"/>
      <c r="AS837" s="69"/>
      <c r="AT837" s="69"/>
      <c r="AU837" s="69"/>
      <c r="AV837" s="69"/>
      <c r="AW837" s="69"/>
      <c r="AX837" s="69"/>
      <c r="AY837" s="69"/>
      <c r="AZ837" s="69"/>
      <c r="BA837" s="69"/>
      <c r="BB837" s="69"/>
      <c r="BC837" s="69"/>
      <c r="BD837" s="69"/>
      <c r="BE837" s="69"/>
      <c r="BF837" s="69"/>
      <c r="BG837" s="69"/>
      <c r="BH837" s="69"/>
      <c r="BI837" s="69"/>
      <c r="BJ837" s="69"/>
      <c r="BK837" s="69"/>
      <c r="BL837" s="69"/>
      <c r="BM837" s="69"/>
      <c r="BN837" s="69"/>
      <c r="BO837" s="69"/>
      <c r="BP837" s="69"/>
      <c r="BQ837" s="69"/>
      <c r="BR837" s="8"/>
    </row>
    <row r="838" ht="12.0" customHeight="1">
      <c r="A838" s="69"/>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M838" s="78"/>
      <c r="AN838" s="78"/>
      <c r="AO838" s="78"/>
      <c r="AP838" s="78"/>
      <c r="AQ838" s="78"/>
      <c r="AR838" s="69"/>
      <c r="AS838" s="69"/>
      <c r="AT838" s="69"/>
      <c r="AU838" s="69"/>
      <c r="AV838" s="69"/>
      <c r="AW838" s="69"/>
      <c r="AX838" s="69"/>
      <c r="AY838" s="69"/>
      <c r="AZ838" s="69"/>
      <c r="BA838" s="69"/>
      <c r="BB838" s="69"/>
      <c r="BC838" s="69"/>
      <c r="BD838" s="69"/>
      <c r="BE838" s="69"/>
      <c r="BF838" s="69"/>
      <c r="BG838" s="69"/>
      <c r="BH838" s="69"/>
      <c r="BI838" s="69"/>
      <c r="BJ838" s="69"/>
      <c r="BK838" s="69"/>
      <c r="BL838" s="69"/>
      <c r="BM838" s="69"/>
      <c r="BN838" s="69"/>
      <c r="BO838" s="69"/>
      <c r="BP838" s="69"/>
      <c r="BQ838" s="69"/>
      <c r="BR838" s="8"/>
    </row>
    <row r="839" ht="12.0" customHeight="1">
      <c r="A839" s="69"/>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M839" s="78"/>
      <c r="AN839" s="78"/>
      <c r="AO839" s="78"/>
      <c r="AP839" s="78"/>
      <c r="AQ839" s="78"/>
      <c r="AR839" s="69"/>
      <c r="AS839" s="69"/>
      <c r="AT839" s="69"/>
      <c r="AU839" s="69"/>
      <c r="AV839" s="69"/>
      <c r="AW839" s="69"/>
      <c r="AX839" s="69"/>
      <c r="AY839" s="69"/>
      <c r="AZ839" s="69"/>
      <c r="BA839" s="69"/>
      <c r="BB839" s="69"/>
      <c r="BC839" s="69"/>
      <c r="BD839" s="69"/>
      <c r="BE839" s="69"/>
      <c r="BF839" s="69"/>
      <c r="BG839" s="69"/>
      <c r="BH839" s="69"/>
      <c r="BI839" s="69"/>
      <c r="BJ839" s="69"/>
      <c r="BK839" s="69"/>
      <c r="BL839" s="69"/>
      <c r="BM839" s="69"/>
      <c r="BN839" s="69"/>
      <c r="BO839" s="69"/>
      <c r="BP839" s="69"/>
      <c r="BQ839" s="69"/>
      <c r="BR839" s="8"/>
    </row>
    <row r="840" ht="12.0" customHeight="1">
      <c r="A840" s="69"/>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M840" s="78"/>
      <c r="AN840" s="78"/>
      <c r="AO840" s="78"/>
      <c r="AP840" s="78"/>
      <c r="AQ840" s="78"/>
      <c r="AR840" s="69"/>
      <c r="AS840" s="69"/>
      <c r="AT840" s="69"/>
      <c r="AU840" s="69"/>
      <c r="AV840" s="69"/>
      <c r="AW840" s="69"/>
      <c r="AX840" s="69"/>
      <c r="AY840" s="69"/>
      <c r="AZ840" s="69"/>
      <c r="BA840" s="69"/>
      <c r="BB840" s="69"/>
      <c r="BC840" s="69"/>
      <c r="BD840" s="69"/>
      <c r="BE840" s="69"/>
      <c r="BF840" s="69"/>
      <c r="BG840" s="69"/>
      <c r="BH840" s="69"/>
      <c r="BI840" s="69"/>
      <c r="BJ840" s="69"/>
      <c r="BK840" s="69"/>
      <c r="BL840" s="69"/>
      <c r="BM840" s="69"/>
      <c r="BN840" s="69"/>
      <c r="BO840" s="69"/>
      <c r="BP840" s="69"/>
      <c r="BQ840" s="69"/>
      <c r="BR840" s="8"/>
    </row>
    <row r="841" ht="12.0" customHeight="1">
      <c r="A841" s="69"/>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M841" s="78"/>
      <c r="AN841" s="78"/>
      <c r="AO841" s="78"/>
      <c r="AP841" s="78"/>
      <c r="AQ841" s="78"/>
      <c r="AR841" s="69"/>
      <c r="AS841" s="69"/>
      <c r="AT841" s="69"/>
      <c r="AU841" s="69"/>
      <c r="AV841" s="69"/>
      <c r="AW841" s="69"/>
      <c r="AX841" s="69"/>
      <c r="AY841" s="69"/>
      <c r="AZ841" s="69"/>
      <c r="BA841" s="69"/>
      <c r="BB841" s="69"/>
      <c r="BC841" s="69"/>
      <c r="BD841" s="69"/>
      <c r="BE841" s="69"/>
      <c r="BF841" s="69"/>
      <c r="BG841" s="69"/>
      <c r="BH841" s="69"/>
      <c r="BI841" s="69"/>
      <c r="BJ841" s="69"/>
      <c r="BK841" s="69"/>
      <c r="BL841" s="69"/>
      <c r="BM841" s="69"/>
      <c r="BN841" s="69"/>
      <c r="BO841" s="69"/>
      <c r="BP841" s="69"/>
      <c r="BQ841" s="69"/>
      <c r="BR841" s="8"/>
    </row>
    <row r="842" ht="12.0" customHeight="1">
      <c r="A842" s="69"/>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c r="AN842" s="78"/>
      <c r="AO842" s="78"/>
      <c r="AP842" s="78"/>
      <c r="AQ842" s="78"/>
      <c r="AR842" s="69"/>
      <c r="AS842" s="69"/>
      <c r="AT842" s="69"/>
      <c r="AU842" s="69"/>
      <c r="AV842" s="69"/>
      <c r="AW842" s="69"/>
      <c r="AX842" s="69"/>
      <c r="AY842" s="69"/>
      <c r="AZ842" s="69"/>
      <c r="BA842" s="69"/>
      <c r="BB842" s="69"/>
      <c r="BC842" s="69"/>
      <c r="BD842" s="69"/>
      <c r="BE842" s="69"/>
      <c r="BF842" s="69"/>
      <c r="BG842" s="69"/>
      <c r="BH842" s="69"/>
      <c r="BI842" s="69"/>
      <c r="BJ842" s="69"/>
      <c r="BK842" s="69"/>
      <c r="BL842" s="69"/>
      <c r="BM842" s="69"/>
      <c r="BN842" s="69"/>
      <c r="BO842" s="69"/>
      <c r="BP842" s="69"/>
      <c r="BQ842" s="69"/>
      <c r="BR842" s="8"/>
    </row>
    <row r="843" ht="12.0" customHeight="1">
      <c r="A843" s="69"/>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c r="AN843" s="78"/>
      <c r="AO843" s="78"/>
      <c r="AP843" s="78"/>
      <c r="AQ843" s="78"/>
      <c r="AR843" s="69"/>
      <c r="AS843" s="69"/>
      <c r="AT843" s="69"/>
      <c r="AU843" s="69"/>
      <c r="AV843" s="69"/>
      <c r="AW843" s="69"/>
      <c r="AX843" s="69"/>
      <c r="AY843" s="69"/>
      <c r="AZ843" s="69"/>
      <c r="BA843" s="69"/>
      <c r="BB843" s="69"/>
      <c r="BC843" s="69"/>
      <c r="BD843" s="69"/>
      <c r="BE843" s="69"/>
      <c r="BF843" s="69"/>
      <c r="BG843" s="69"/>
      <c r="BH843" s="69"/>
      <c r="BI843" s="69"/>
      <c r="BJ843" s="69"/>
      <c r="BK843" s="69"/>
      <c r="BL843" s="69"/>
      <c r="BM843" s="69"/>
      <c r="BN843" s="69"/>
      <c r="BO843" s="69"/>
      <c r="BP843" s="69"/>
      <c r="BQ843" s="69"/>
      <c r="BR843" s="8"/>
    </row>
    <row r="844" ht="12.0" customHeight="1">
      <c r="A844" s="69"/>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M844" s="78"/>
      <c r="AN844" s="78"/>
      <c r="AO844" s="78"/>
      <c r="AP844" s="78"/>
      <c r="AQ844" s="78"/>
      <c r="AR844" s="69"/>
      <c r="AS844" s="69"/>
      <c r="AT844" s="69"/>
      <c r="AU844" s="69"/>
      <c r="AV844" s="69"/>
      <c r="AW844" s="69"/>
      <c r="AX844" s="69"/>
      <c r="AY844" s="69"/>
      <c r="AZ844" s="69"/>
      <c r="BA844" s="69"/>
      <c r="BB844" s="69"/>
      <c r="BC844" s="69"/>
      <c r="BD844" s="69"/>
      <c r="BE844" s="69"/>
      <c r="BF844" s="69"/>
      <c r="BG844" s="69"/>
      <c r="BH844" s="69"/>
      <c r="BI844" s="69"/>
      <c r="BJ844" s="69"/>
      <c r="BK844" s="69"/>
      <c r="BL844" s="69"/>
      <c r="BM844" s="69"/>
      <c r="BN844" s="69"/>
      <c r="BO844" s="69"/>
      <c r="BP844" s="69"/>
      <c r="BQ844" s="69"/>
      <c r="BR844" s="8"/>
    </row>
    <row r="845" ht="12.0" customHeight="1">
      <c r="A845" s="69"/>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c r="AN845" s="78"/>
      <c r="AO845" s="78"/>
      <c r="AP845" s="78"/>
      <c r="AQ845" s="78"/>
      <c r="AR845" s="69"/>
      <c r="AS845" s="69"/>
      <c r="AT845" s="69"/>
      <c r="AU845" s="69"/>
      <c r="AV845" s="69"/>
      <c r="AW845" s="69"/>
      <c r="AX845" s="69"/>
      <c r="AY845" s="69"/>
      <c r="AZ845" s="69"/>
      <c r="BA845" s="69"/>
      <c r="BB845" s="69"/>
      <c r="BC845" s="69"/>
      <c r="BD845" s="69"/>
      <c r="BE845" s="69"/>
      <c r="BF845" s="69"/>
      <c r="BG845" s="69"/>
      <c r="BH845" s="69"/>
      <c r="BI845" s="69"/>
      <c r="BJ845" s="69"/>
      <c r="BK845" s="69"/>
      <c r="BL845" s="69"/>
      <c r="BM845" s="69"/>
      <c r="BN845" s="69"/>
      <c r="BO845" s="69"/>
      <c r="BP845" s="69"/>
      <c r="BQ845" s="69"/>
      <c r="BR845" s="8"/>
    </row>
    <row r="846" ht="12.0" customHeight="1">
      <c r="A846" s="69"/>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c r="AN846" s="78"/>
      <c r="AO846" s="78"/>
      <c r="AP846" s="78"/>
      <c r="AQ846" s="78"/>
      <c r="AR846" s="69"/>
      <c r="AS846" s="69"/>
      <c r="AT846" s="69"/>
      <c r="AU846" s="69"/>
      <c r="AV846" s="69"/>
      <c r="AW846" s="69"/>
      <c r="AX846" s="69"/>
      <c r="AY846" s="69"/>
      <c r="AZ846" s="69"/>
      <c r="BA846" s="69"/>
      <c r="BB846" s="69"/>
      <c r="BC846" s="69"/>
      <c r="BD846" s="69"/>
      <c r="BE846" s="69"/>
      <c r="BF846" s="69"/>
      <c r="BG846" s="69"/>
      <c r="BH846" s="69"/>
      <c r="BI846" s="69"/>
      <c r="BJ846" s="69"/>
      <c r="BK846" s="69"/>
      <c r="BL846" s="69"/>
      <c r="BM846" s="69"/>
      <c r="BN846" s="69"/>
      <c r="BO846" s="69"/>
      <c r="BP846" s="69"/>
      <c r="BQ846" s="69"/>
      <c r="BR846" s="8"/>
    </row>
    <row r="847" ht="12.0" customHeight="1">
      <c r="A847" s="69"/>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M847" s="78"/>
      <c r="AN847" s="78"/>
      <c r="AO847" s="78"/>
      <c r="AP847" s="78"/>
      <c r="AQ847" s="78"/>
      <c r="AR847" s="69"/>
      <c r="AS847" s="69"/>
      <c r="AT847" s="69"/>
      <c r="AU847" s="69"/>
      <c r="AV847" s="69"/>
      <c r="AW847" s="69"/>
      <c r="AX847" s="69"/>
      <c r="AY847" s="69"/>
      <c r="AZ847" s="69"/>
      <c r="BA847" s="69"/>
      <c r="BB847" s="69"/>
      <c r="BC847" s="69"/>
      <c r="BD847" s="69"/>
      <c r="BE847" s="69"/>
      <c r="BF847" s="69"/>
      <c r="BG847" s="69"/>
      <c r="BH847" s="69"/>
      <c r="BI847" s="69"/>
      <c r="BJ847" s="69"/>
      <c r="BK847" s="69"/>
      <c r="BL847" s="69"/>
      <c r="BM847" s="69"/>
      <c r="BN847" s="69"/>
      <c r="BO847" s="69"/>
      <c r="BP847" s="69"/>
      <c r="BQ847" s="69"/>
      <c r="BR847" s="8"/>
    </row>
    <row r="848" ht="12.0" customHeight="1">
      <c r="A848" s="69"/>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M848" s="78"/>
      <c r="AN848" s="78"/>
      <c r="AO848" s="78"/>
      <c r="AP848" s="78"/>
      <c r="AQ848" s="78"/>
      <c r="AR848" s="69"/>
      <c r="AS848" s="69"/>
      <c r="AT848" s="69"/>
      <c r="AU848" s="69"/>
      <c r="AV848" s="69"/>
      <c r="AW848" s="69"/>
      <c r="AX848" s="69"/>
      <c r="AY848" s="69"/>
      <c r="AZ848" s="69"/>
      <c r="BA848" s="69"/>
      <c r="BB848" s="69"/>
      <c r="BC848" s="69"/>
      <c r="BD848" s="69"/>
      <c r="BE848" s="69"/>
      <c r="BF848" s="69"/>
      <c r="BG848" s="69"/>
      <c r="BH848" s="69"/>
      <c r="BI848" s="69"/>
      <c r="BJ848" s="69"/>
      <c r="BK848" s="69"/>
      <c r="BL848" s="69"/>
      <c r="BM848" s="69"/>
      <c r="BN848" s="69"/>
      <c r="BO848" s="69"/>
      <c r="BP848" s="69"/>
      <c r="BQ848" s="69"/>
      <c r="BR848" s="8"/>
    </row>
    <row r="849" ht="12.0" customHeight="1">
      <c r="A849" s="69"/>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c r="AN849" s="78"/>
      <c r="AO849" s="78"/>
      <c r="AP849" s="78"/>
      <c r="AQ849" s="78"/>
      <c r="AR849" s="69"/>
      <c r="AS849" s="69"/>
      <c r="AT849" s="69"/>
      <c r="AU849" s="69"/>
      <c r="AV849" s="69"/>
      <c r="AW849" s="69"/>
      <c r="AX849" s="69"/>
      <c r="AY849" s="69"/>
      <c r="AZ849" s="69"/>
      <c r="BA849" s="69"/>
      <c r="BB849" s="69"/>
      <c r="BC849" s="69"/>
      <c r="BD849" s="69"/>
      <c r="BE849" s="69"/>
      <c r="BF849" s="69"/>
      <c r="BG849" s="69"/>
      <c r="BH849" s="69"/>
      <c r="BI849" s="69"/>
      <c r="BJ849" s="69"/>
      <c r="BK849" s="69"/>
      <c r="BL849" s="69"/>
      <c r="BM849" s="69"/>
      <c r="BN849" s="69"/>
      <c r="BO849" s="69"/>
      <c r="BP849" s="69"/>
      <c r="BQ849" s="69"/>
      <c r="BR849" s="8"/>
    </row>
    <row r="850" ht="12.0" customHeight="1">
      <c r="A850" s="69"/>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M850" s="78"/>
      <c r="AN850" s="78"/>
      <c r="AO850" s="78"/>
      <c r="AP850" s="78"/>
      <c r="AQ850" s="78"/>
      <c r="AR850" s="69"/>
      <c r="AS850" s="69"/>
      <c r="AT850" s="69"/>
      <c r="AU850" s="69"/>
      <c r="AV850" s="69"/>
      <c r="AW850" s="69"/>
      <c r="AX850" s="69"/>
      <c r="AY850" s="69"/>
      <c r="AZ850" s="69"/>
      <c r="BA850" s="69"/>
      <c r="BB850" s="69"/>
      <c r="BC850" s="69"/>
      <c r="BD850" s="69"/>
      <c r="BE850" s="69"/>
      <c r="BF850" s="69"/>
      <c r="BG850" s="69"/>
      <c r="BH850" s="69"/>
      <c r="BI850" s="69"/>
      <c r="BJ850" s="69"/>
      <c r="BK850" s="69"/>
      <c r="BL850" s="69"/>
      <c r="BM850" s="69"/>
      <c r="BN850" s="69"/>
      <c r="BO850" s="69"/>
      <c r="BP850" s="69"/>
      <c r="BQ850" s="69"/>
      <c r="BR850" s="8"/>
    </row>
    <row r="851" ht="12.0" customHeight="1">
      <c r="A851" s="69"/>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c r="AN851" s="78"/>
      <c r="AO851" s="78"/>
      <c r="AP851" s="78"/>
      <c r="AQ851" s="78"/>
      <c r="AR851" s="69"/>
      <c r="AS851" s="69"/>
      <c r="AT851" s="69"/>
      <c r="AU851" s="69"/>
      <c r="AV851" s="69"/>
      <c r="AW851" s="69"/>
      <c r="AX851" s="69"/>
      <c r="AY851" s="69"/>
      <c r="AZ851" s="69"/>
      <c r="BA851" s="69"/>
      <c r="BB851" s="69"/>
      <c r="BC851" s="69"/>
      <c r="BD851" s="69"/>
      <c r="BE851" s="69"/>
      <c r="BF851" s="69"/>
      <c r="BG851" s="69"/>
      <c r="BH851" s="69"/>
      <c r="BI851" s="69"/>
      <c r="BJ851" s="69"/>
      <c r="BK851" s="69"/>
      <c r="BL851" s="69"/>
      <c r="BM851" s="69"/>
      <c r="BN851" s="69"/>
      <c r="BO851" s="69"/>
      <c r="BP851" s="69"/>
      <c r="BQ851" s="69"/>
      <c r="BR851" s="8"/>
    </row>
    <row r="852" ht="12.0" customHeight="1">
      <c r="A852" s="69"/>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M852" s="78"/>
      <c r="AN852" s="78"/>
      <c r="AO852" s="78"/>
      <c r="AP852" s="78"/>
      <c r="AQ852" s="78"/>
      <c r="AR852" s="69"/>
      <c r="AS852" s="69"/>
      <c r="AT852" s="69"/>
      <c r="AU852" s="69"/>
      <c r="AV852" s="69"/>
      <c r="AW852" s="69"/>
      <c r="AX852" s="69"/>
      <c r="AY852" s="69"/>
      <c r="AZ852" s="69"/>
      <c r="BA852" s="69"/>
      <c r="BB852" s="69"/>
      <c r="BC852" s="69"/>
      <c r="BD852" s="69"/>
      <c r="BE852" s="69"/>
      <c r="BF852" s="69"/>
      <c r="BG852" s="69"/>
      <c r="BH852" s="69"/>
      <c r="BI852" s="69"/>
      <c r="BJ852" s="69"/>
      <c r="BK852" s="69"/>
      <c r="BL852" s="69"/>
      <c r="BM852" s="69"/>
      <c r="BN852" s="69"/>
      <c r="BO852" s="69"/>
      <c r="BP852" s="69"/>
      <c r="BQ852" s="69"/>
      <c r="BR852" s="8"/>
    </row>
    <row r="853" ht="12.0" customHeight="1">
      <c r="A853" s="69"/>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c r="AN853" s="78"/>
      <c r="AO853" s="78"/>
      <c r="AP853" s="78"/>
      <c r="AQ853" s="78"/>
      <c r="AR853" s="69"/>
      <c r="AS853" s="69"/>
      <c r="AT853" s="69"/>
      <c r="AU853" s="69"/>
      <c r="AV853" s="69"/>
      <c r="AW853" s="69"/>
      <c r="AX853" s="69"/>
      <c r="AY853" s="69"/>
      <c r="AZ853" s="69"/>
      <c r="BA853" s="69"/>
      <c r="BB853" s="69"/>
      <c r="BC853" s="69"/>
      <c r="BD853" s="69"/>
      <c r="BE853" s="69"/>
      <c r="BF853" s="69"/>
      <c r="BG853" s="69"/>
      <c r="BH853" s="69"/>
      <c r="BI853" s="69"/>
      <c r="BJ853" s="69"/>
      <c r="BK853" s="69"/>
      <c r="BL853" s="69"/>
      <c r="BM853" s="69"/>
      <c r="BN853" s="69"/>
      <c r="BO853" s="69"/>
      <c r="BP853" s="69"/>
      <c r="BQ853" s="69"/>
      <c r="BR853" s="8"/>
    </row>
    <row r="854" ht="12.0" customHeight="1">
      <c r="A854" s="69"/>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M854" s="78"/>
      <c r="AN854" s="78"/>
      <c r="AO854" s="78"/>
      <c r="AP854" s="78"/>
      <c r="AQ854" s="78"/>
      <c r="AR854" s="69"/>
      <c r="AS854" s="69"/>
      <c r="AT854" s="69"/>
      <c r="AU854" s="69"/>
      <c r="AV854" s="69"/>
      <c r="AW854" s="69"/>
      <c r="AX854" s="69"/>
      <c r="AY854" s="69"/>
      <c r="AZ854" s="69"/>
      <c r="BA854" s="69"/>
      <c r="BB854" s="69"/>
      <c r="BC854" s="69"/>
      <c r="BD854" s="69"/>
      <c r="BE854" s="69"/>
      <c r="BF854" s="69"/>
      <c r="BG854" s="69"/>
      <c r="BH854" s="69"/>
      <c r="BI854" s="69"/>
      <c r="BJ854" s="69"/>
      <c r="BK854" s="69"/>
      <c r="BL854" s="69"/>
      <c r="BM854" s="69"/>
      <c r="BN854" s="69"/>
      <c r="BO854" s="69"/>
      <c r="BP854" s="69"/>
      <c r="BQ854" s="69"/>
      <c r="BR854" s="8"/>
    </row>
    <row r="855" ht="12.0" customHeight="1">
      <c r="A855" s="69"/>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M855" s="78"/>
      <c r="AN855" s="78"/>
      <c r="AO855" s="78"/>
      <c r="AP855" s="78"/>
      <c r="AQ855" s="78"/>
      <c r="AR855" s="69"/>
      <c r="AS855" s="69"/>
      <c r="AT855" s="69"/>
      <c r="AU855" s="69"/>
      <c r="AV855" s="69"/>
      <c r="AW855" s="69"/>
      <c r="AX855" s="69"/>
      <c r="AY855" s="69"/>
      <c r="AZ855" s="69"/>
      <c r="BA855" s="69"/>
      <c r="BB855" s="69"/>
      <c r="BC855" s="69"/>
      <c r="BD855" s="69"/>
      <c r="BE855" s="69"/>
      <c r="BF855" s="69"/>
      <c r="BG855" s="69"/>
      <c r="BH855" s="69"/>
      <c r="BI855" s="69"/>
      <c r="BJ855" s="69"/>
      <c r="BK855" s="69"/>
      <c r="BL855" s="69"/>
      <c r="BM855" s="69"/>
      <c r="BN855" s="69"/>
      <c r="BO855" s="69"/>
      <c r="BP855" s="69"/>
      <c r="BQ855" s="69"/>
      <c r="BR855" s="8"/>
    </row>
    <row r="856" ht="12.0" customHeight="1">
      <c r="A856" s="69"/>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M856" s="78"/>
      <c r="AN856" s="78"/>
      <c r="AO856" s="78"/>
      <c r="AP856" s="78"/>
      <c r="AQ856" s="78"/>
      <c r="AR856" s="69"/>
      <c r="AS856" s="69"/>
      <c r="AT856" s="69"/>
      <c r="AU856" s="69"/>
      <c r="AV856" s="69"/>
      <c r="AW856" s="69"/>
      <c r="AX856" s="69"/>
      <c r="AY856" s="69"/>
      <c r="AZ856" s="69"/>
      <c r="BA856" s="69"/>
      <c r="BB856" s="69"/>
      <c r="BC856" s="69"/>
      <c r="BD856" s="69"/>
      <c r="BE856" s="69"/>
      <c r="BF856" s="69"/>
      <c r="BG856" s="69"/>
      <c r="BH856" s="69"/>
      <c r="BI856" s="69"/>
      <c r="BJ856" s="69"/>
      <c r="BK856" s="69"/>
      <c r="BL856" s="69"/>
      <c r="BM856" s="69"/>
      <c r="BN856" s="69"/>
      <c r="BO856" s="69"/>
      <c r="BP856" s="69"/>
      <c r="BQ856" s="69"/>
      <c r="BR856" s="8"/>
    </row>
    <row r="857" ht="12.0" customHeight="1">
      <c r="A857" s="69"/>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M857" s="78"/>
      <c r="AN857" s="78"/>
      <c r="AO857" s="78"/>
      <c r="AP857" s="78"/>
      <c r="AQ857" s="78"/>
      <c r="AR857" s="69"/>
      <c r="AS857" s="69"/>
      <c r="AT857" s="69"/>
      <c r="AU857" s="69"/>
      <c r="AV857" s="69"/>
      <c r="AW857" s="69"/>
      <c r="AX857" s="69"/>
      <c r="AY857" s="69"/>
      <c r="AZ857" s="69"/>
      <c r="BA857" s="69"/>
      <c r="BB857" s="69"/>
      <c r="BC857" s="69"/>
      <c r="BD857" s="69"/>
      <c r="BE857" s="69"/>
      <c r="BF857" s="69"/>
      <c r="BG857" s="69"/>
      <c r="BH857" s="69"/>
      <c r="BI857" s="69"/>
      <c r="BJ857" s="69"/>
      <c r="BK857" s="69"/>
      <c r="BL857" s="69"/>
      <c r="BM857" s="69"/>
      <c r="BN857" s="69"/>
      <c r="BO857" s="69"/>
      <c r="BP857" s="69"/>
      <c r="BQ857" s="69"/>
      <c r="BR857" s="8"/>
    </row>
    <row r="858" ht="12.0" customHeight="1">
      <c r="A858" s="69"/>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c r="AN858" s="78"/>
      <c r="AO858" s="78"/>
      <c r="AP858" s="78"/>
      <c r="AQ858" s="78"/>
      <c r="AR858" s="69"/>
      <c r="AS858" s="69"/>
      <c r="AT858" s="69"/>
      <c r="AU858" s="69"/>
      <c r="AV858" s="69"/>
      <c r="AW858" s="69"/>
      <c r="AX858" s="69"/>
      <c r="AY858" s="69"/>
      <c r="AZ858" s="69"/>
      <c r="BA858" s="69"/>
      <c r="BB858" s="69"/>
      <c r="BC858" s="69"/>
      <c r="BD858" s="69"/>
      <c r="BE858" s="69"/>
      <c r="BF858" s="69"/>
      <c r="BG858" s="69"/>
      <c r="BH858" s="69"/>
      <c r="BI858" s="69"/>
      <c r="BJ858" s="69"/>
      <c r="BK858" s="69"/>
      <c r="BL858" s="69"/>
      <c r="BM858" s="69"/>
      <c r="BN858" s="69"/>
      <c r="BO858" s="69"/>
      <c r="BP858" s="69"/>
      <c r="BQ858" s="69"/>
      <c r="BR858" s="8"/>
    </row>
    <row r="859" ht="12.0" customHeight="1">
      <c r="A859" s="69"/>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c r="AN859" s="78"/>
      <c r="AO859" s="78"/>
      <c r="AP859" s="78"/>
      <c r="AQ859" s="78"/>
      <c r="AR859" s="69"/>
      <c r="AS859" s="69"/>
      <c r="AT859" s="69"/>
      <c r="AU859" s="69"/>
      <c r="AV859" s="69"/>
      <c r="AW859" s="69"/>
      <c r="AX859" s="69"/>
      <c r="AY859" s="69"/>
      <c r="AZ859" s="69"/>
      <c r="BA859" s="69"/>
      <c r="BB859" s="69"/>
      <c r="BC859" s="69"/>
      <c r="BD859" s="69"/>
      <c r="BE859" s="69"/>
      <c r="BF859" s="69"/>
      <c r="BG859" s="69"/>
      <c r="BH859" s="69"/>
      <c r="BI859" s="69"/>
      <c r="BJ859" s="69"/>
      <c r="BK859" s="69"/>
      <c r="BL859" s="69"/>
      <c r="BM859" s="69"/>
      <c r="BN859" s="69"/>
      <c r="BO859" s="69"/>
      <c r="BP859" s="69"/>
      <c r="BQ859" s="69"/>
      <c r="BR859" s="8"/>
    </row>
    <row r="860" ht="12.0" customHeight="1">
      <c r="A860" s="69"/>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c r="AN860" s="78"/>
      <c r="AO860" s="78"/>
      <c r="AP860" s="78"/>
      <c r="AQ860" s="78"/>
      <c r="AR860" s="69"/>
      <c r="AS860" s="69"/>
      <c r="AT860" s="69"/>
      <c r="AU860" s="69"/>
      <c r="AV860" s="69"/>
      <c r="AW860" s="69"/>
      <c r="AX860" s="69"/>
      <c r="AY860" s="69"/>
      <c r="AZ860" s="69"/>
      <c r="BA860" s="69"/>
      <c r="BB860" s="69"/>
      <c r="BC860" s="69"/>
      <c r="BD860" s="69"/>
      <c r="BE860" s="69"/>
      <c r="BF860" s="69"/>
      <c r="BG860" s="69"/>
      <c r="BH860" s="69"/>
      <c r="BI860" s="69"/>
      <c r="BJ860" s="69"/>
      <c r="BK860" s="69"/>
      <c r="BL860" s="69"/>
      <c r="BM860" s="69"/>
      <c r="BN860" s="69"/>
      <c r="BO860" s="69"/>
      <c r="BP860" s="69"/>
      <c r="BQ860" s="69"/>
      <c r="BR860" s="8"/>
    </row>
    <row r="861" ht="12.0" customHeight="1">
      <c r="A861" s="69"/>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c r="AN861" s="78"/>
      <c r="AO861" s="78"/>
      <c r="AP861" s="78"/>
      <c r="AQ861" s="78"/>
      <c r="AR861" s="69"/>
      <c r="AS861" s="69"/>
      <c r="AT861" s="69"/>
      <c r="AU861" s="69"/>
      <c r="AV861" s="69"/>
      <c r="AW861" s="69"/>
      <c r="AX861" s="69"/>
      <c r="AY861" s="69"/>
      <c r="AZ861" s="69"/>
      <c r="BA861" s="69"/>
      <c r="BB861" s="69"/>
      <c r="BC861" s="69"/>
      <c r="BD861" s="69"/>
      <c r="BE861" s="69"/>
      <c r="BF861" s="69"/>
      <c r="BG861" s="69"/>
      <c r="BH861" s="69"/>
      <c r="BI861" s="69"/>
      <c r="BJ861" s="69"/>
      <c r="BK861" s="69"/>
      <c r="BL861" s="69"/>
      <c r="BM861" s="69"/>
      <c r="BN861" s="69"/>
      <c r="BO861" s="69"/>
      <c r="BP861" s="69"/>
      <c r="BQ861" s="69"/>
      <c r="BR861" s="8"/>
    </row>
    <row r="862" ht="12.0" customHeight="1">
      <c r="A862" s="69"/>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M862" s="78"/>
      <c r="AN862" s="78"/>
      <c r="AO862" s="78"/>
      <c r="AP862" s="78"/>
      <c r="AQ862" s="78"/>
      <c r="AR862" s="69"/>
      <c r="AS862" s="69"/>
      <c r="AT862" s="69"/>
      <c r="AU862" s="69"/>
      <c r="AV862" s="69"/>
      <c r="AW862" s="69"/>
      <c r="AX862" s="69"/>
      <c r="AY862" s="69"/>
      <c r="AZ862" s="69"/>
      <c r="BA862" s="69"/>
      <c r="BB862" s="69"/>
      <c r="BC862" s="69"/>
      <c r="BD862" s="69"/>
      <c r="BE862" s="69"/>
      <c r="BF862" s="69"/>
      <c r="BG862" s="69"/>
      <c r="BH862" s="69"/>
      <c r="BI862" s="69"/>
      <c r="BJ862" s="69"/>
      <c r="BK862" s="69"/>
      <c r="BL862" s="69"/>
      <c r="BM862" s="69"/>
      <c r="BN862" s="69"/>
      <c r="BO862" s="69"/>
      <c r="BP862" s="69"/>
      <c r="BQ862" s="69"/>
      <c r="BR862" s="8"/>
    </row>
    <row r="863" ht="12.0" customHeight="1">
      <c r="A863" s="69"/>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c r="AN863" s="78"/>
      <c r="AO863" s="78"/>
      <c r="AP863" s="78"/>
      <c r="AQ863" s="78"/>
      <c r="AR863" s="69"/>
      <c r="AS863" s="69"/>
      <c r="AT863" s="69"/>
      <c r="AU863" s="69"/>
      <c r="AV863" s="69"/>
      <c r="AW863" s="69"/>
      <c r="AX863" s="69"/>
      <c r="AY863" s="69"/>
      <c r="AZ863" s="69"/>
      <c r="BA863" s="69"/>
      <c r="BB863" s="69"/>
      <c r="BC863" s="69"/>
      <c r="BD863" s="69"/>
      <c r="BE863" s="69"/>
      <c r="BF863" s="69"/>
      <c r="BG863" s="69"/>
      <c r="BH863" s="69"/>
      <c r="BI863" s="69"/>
      <c r="BJ863" s="69"/>
      <c r="BK863" s="69"/>
      <c r="BL863" s="69"/>
      <c r="BM863" s="69"/>
      <c r="BN863" s="69"/>
      <c r="BO863" s="69"/>
      <c r="BP863" s="69"/>
      <c r="BQ863" s="69"/>
      <c r="BR863" s="8"/>
    </row>
    <row r="864" ht="12.0" customHeight="1">
      <c r="A864" s="69"/>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c r="AN864" s="78"/>
      <c r="AO864" s="78"/>
      <c r="AP864" s="78"/>
      <c r="AQ864" s="78"/>
      <c r="AR864" s="69"/>
      <c r="AS864" s="69"/>
      <c r="AT864" s="69"/>
      <c r="AU864" s="69"/>
      <c r="AV864" s="69"/>
      <c r="AW864" s="69"/>
      <c r="AX864" s="69"/>
      <c r="AY864" s="69"/>
      <c r="AZ864" s="69"/>
      <c r="BA864" s="69"/>
      <c r="BB864" s="69"/>
      <c r="BC864" s="69"/>
      <c r="BD864" s="69"/>
      <c r="BE864" s="69"/>
      <c r="BF864" s="69"/>
      <c r="BG864" s="69"/>
      <c r="BH864" s="69"/>
      <c r="BI864" s="69"/>
      <c r="BJ864" s="69"/>
      <c r="BK864" s="69"/>
      <c r="BL864" s="69"/>
      <c r="BM864" s="69"/>
      <c r="BN864" s="69"/>
      <c r="BO864" s="69"/>
      <c r="BP864" s="69"/>
      <c r="BQ864" s="69"/>
      <c r="BR864" s="8"/>
    </row>
    <row r="865" ht="12.0" customHeight="1">
      <c r="A865" s="69"/>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c r="AN865" s="78"/>
      <c r="AO865" s="78"/>
      <c r="AP865" s="78"/>
      <c r="AQ865" s="78"/>
      <c r="AR865" s="69"/>
      <c r="AS865" s="69"/>
      <c r="AT865" s="69"/>
      <c r="AU865" s="69"/>
      <c r="AV865" s="69"/>
      <c r="AW865" s="69"/>
      <c r="AX865" s="69"/>
      <c r="AY865" s="69"/>
      <c r="AZ865" s="69"/>
      <c r="BA865" s="69"/>
      <c r="BB865" s="69"/>
      <c r="BC865" s="69"/>
      <c r="BD865" s="69"/>
      <c r="BE865" s="69"/>
      <c r="BF865" s="69"/>
      <c r="BG865" s="69"/>
      <c r="BH865" s="69"/>
      <c r="BI865" s="69"/>
      <c r="BJ865" s="69"/>
      <c r="BK865" s="69"/>
      <c r="BL865" s="69"/>
      <c r="BM865" s="69"/>
      <c r="BN865" s="69"/>
      <c r="BO865" s="69"/>
      <c r="BP865" s="69"/>
      <c r="BQ865" s="69"/>
      <c r="BR865" s="8"/>
    </row>
    <row r="866" ht="12.0" customHeight="1">
      <c r="A866" s="69"/>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c r="AN866" s="78"/>
      <c r="AO866" s="78"/>
      <c r="AP866" s="78"/>
      <c r="AQ866" s="78"/>
      <c r="AR866" s="69"/>
      <c r="AS866" s="69"/>
      <c r="AT866" s="69"/>
      <c r="AU866" s="69"/>
      <c r="AV866" s="69"/>
      <c r="AW866" s="69"/>
      <c r="AX866" s="69"/>
      <c r="AY866" s="69"/>
      <c r="AZ866" s="69"/>
      <c r="BA866" s="69"/>
      <c r="BB866" s="69"/>
      <c r="BC866" s="69"/>
      <c r="BD866" s="69"/>
      <c r="BE866" s="69"/>
      <c r="BF866" s="69"/>
      <c r="BG866" s="69"/>
      <c r="BH866" s="69"/>
      <c r="BI866" s="69"/>
      <c r="BJ866" s="69"/>
      <c r="BK866" s="69"/>
      <c r="BL866" s="69"/>
      <c r="BM866" s="69"/>
      <c r="BN866" s="69"/>
      <c r="BO866" s="69"/>
      <c r="BP866" s="69"/>
      <c r="BQ866" s="69"/>
      <c r="BR866" s="8"/>
    </row>
    <row r="867" ht="12.0" customHeight="1">
      <c r="A867" s="69"/>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8"/>
      <c r="AP867" s="78"/>
      <c r="AQ867" s="78"/>
      <c r="AR867" s="69"/>
      <c r="AS867" s="69"/>
      <c r="AT867" s="69"/>
      <c r="AU867" s="69"/>
      <c r="AV867" s="69"/>
      <c r="AW867" s="69"/>
      <c r="AX867" s="69"/>
      <c r="AY867" s="69"/>
      <c r="AZ867" s="69"/>
      <c r="BA867" s="69"/>
      <c r="BB867" s="69"/>
      <c r="BC867" s="69"/>
      <c r="BD867" s="69"/>
      <c r="BE867" s="69"/>
      <c r="BF867" s="69"/>
      <c r="BG867" s="69"/>
      <c r="BH867" s="69"/>
      <c r="BI867" s="69"/>
      <c r="BJ867" s="69"/>
      <c r="BK867" s="69"/>
      <c r="BL867" s="69"/>
      <c r="BM867" s="69"/>
      <c r="BN867" s="69"/>
      <c r="BO867" s="69"/>
      <c r="BP867" s="69"/>
      <c r="BQ867" s="69"/>
      <c r="BR867" s="8"/>
    </row>
    <row r="868" ht="12.0" customHeight="1">
      <c r="A868" s="69"/>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c r="AN868" s="78"/>
      <c r="AO868" s="78"/>
      <c r="AP868" s="78"/>
      <c r="AQ868" s="78"/>
      <c r="AR868" s="69"/>
      <c r="AS868" s="69"/>
      <c r="AT868" s="69"/>
      <c r="AU868" s="69"/>
      <c r="AV868" s="69"/>
      <c r="AW868" s="69"/>
      <c r="AX868" s="69"/>
      <c r="AY868" s="69"/>
      <c r="AZ868" s="69"/>
      <c r="BA868" s="69"/>
      <c r="BB868" s="69"/>
      <c r="BC868" s="69"/>
      <c r="BD868" s="69"/>
      <c r="BE868" s="69"/>
      <c r="BF868" s="69"/>
      <c r="BG868" s="69"/>
      <c r="BH868" s="69"/>
      <c r="BI868" s="69"/>
      <c r="BJ868" s="69"/>
      <c r="BK868" s="69"/>
      <c r="BL868" s="69"/>
      <c r="BM868" s="69"/>
      <c r="BN868" s="69"/>
      <c r="BO868" s="69"/>
      <c r="BP868" s="69"/>
      <c r="BQ868" s="69"/>
      <c r="BR868" s="8"/>
    </row>
    <row r="869" ht="12.0" customHeight="1">
      <c r="A869" s="69"/>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M869" s="78"/>
      <c r="AN869" s="78"/>
      <c r="AO869" s="78"/>
      <c r="AP869" s="78"/>
      <c r="AQ869" s="78"/>
      <c r="AR869" s="69"/>
      <c r="AS869" s="69"/>
      <c r="AT869" s="69"/>
      <c r="AU869" s="69"/>
      <c r="AV869" s="69"/>
      <c r="AW869" s="69"/>
      <c r="AX869" s="69"/>
      <c r="AY869" s="69"/>
      <c r="AZ869" s="69"/>
      <c r="BA869" s="69"/>
      <c r="BB869" s="69"/>
      <c r="BC869" s="69"/>
      <c r="BD869" s="69"/>
      <c r="BE869" s="69"/>
      <c r="BF869" s="69"/>
      <c r="BG869" s="69"/>
      <c r="BH869" s="69"/>
      <c r="BI869" s="69"/>
      <c r="BJ869" s="69"/>
      <c r="BK869" s="69"/>
      <c r="BL869" s="69"/>
      <c r="BM869" s="69"/>
      <c r="BN869" s="69"/>
      <c r="BO869" s="69"/>
      <c r="BP869" s="69"/>
      <c r="BQ869" s="69"/>
      <c r="BR869" s="8"/>
    </row>
    <row r="870" ht="12.0" customHeight="1">
      <c r="A870" s="69"/>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c r="AN870" s="78"/>
      <c r="AO870" s="78"/>
      <c r="AP870" s="78"/>
      <c r="AQ870" s="78"/>
      <c r="AR870" s="69"/>
      <c r="AS870" s="69"/>
      <c r="AT870" s="69"/>
      <c r="AU870" s="69"/>
      <c r="AV870" s="69"/>
      <c r="AW870" s="69"/>
      <c r="AX870" s="69"/>
      <c r="AY870" s="69"/>
      <c r="AZ870" s="69"/>
      <c r="BA870" s="69"/>
      <c r="BB870" s="69"/>
      <c r="BC870" s="69"/>
      <c r="BD870" s="69"/>
      <c r="BE870" s="69"/>
      <c r="BF870" s="69"/>
      <c r="BG870" s="69"/>
      <c r="BH870" s="69"/>
      <c r="BI870" s="69"/>
      <c r="BJ870" s="69"/>
      <c r="BK870" s="69"/>
      <c r="BL870" s="69"/>
      <c r="BM870" s="69"/>
      <c r="BN870" s="69"/>
      <c r="BO870" s="69"/>
      <c r="BP870" s="69"/>
      <c r="BQ870" s="69"/>
      <c r="BR870" s="8"/>
    </row>
    <row r="871" ht="12.0" customHeight="1">
      <c r="A871" s="69"/>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M871" s="78"/>
      <c r="AN871" s="78"/>
      <c r="AO871" s="78"/>
      <c r="AP871" s="78"/>
      <c r="AQ871" s="78"/>
      <c r="AR871" s="69"/>
      <c r="AS871" s="69"/>
      <c r="AT871" s="69"/>
      <c r="AU871" s="69"/>
      <c r="AV871" s="69"/>
      <c r="AW871" s="69"/>
      <c r="AX871" s="69"/>
      <c r="AY871" s="69"/>
      <c r="AZ871" s="69"/>
      <c r="BA871" s="69"/>
      <c r="BB871" s="69"/>
      <c r="BC871" s="69"/>
      <c r="BD871" s="69"/>
      <c r="BE871" s="69"/>
      <c r="BF871" s="69"/>
      <c r="BG871" s="69"/>
      <c r="BH871" s="69"/>
      <c r="BI871" s="69"/>
      <c r="BJ871" s="69"/>
      <c r="BK871" s="69"/>
      <c r="BL871" s="69"/>
      <c r="BM871" s="69"/>
      <c r="BN871" s="69"/>
      <c r="BO871" s="69"/>
      <c r="BP871" s="69"/>
      <c r="BQ871" s="69"/>
      <c r="BR871" s="8"/>
    </row>
    <row r="872" ht="12.0" customHeight="1">
      <c r="A872" s="69"/>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c r="AN872" s="78"/>
      <c r="AO872" s="78"/>
      <c r="AP872" s="78"/>
      <c r="AQ872" s="78"/>
      <c r="AR872" s="69"/>
      <c r="AS872" s="69"/>
      <c r="AT872" s="69"/>
      <c r="AU872" s="69"/>
      <c r="AV872" s="69"/>
      <c r="AW872" s="69"/>
      <c r="AX872" s="69"/>
      <c r="AY872" s="69"/>
      <c r="AZ872" s="69"/>
      <c r="BA872" s="69"/>
      <c r="BB872" s="69"/>
      <c r="BC872" s="69"/>
      <c r="BD872" s="69"/>
      <c r="BE872" s="69"/>
      <c r="BF872" s="69"/>
      <c r="BG872" s="69"/>
      <c r="BH872" s="69"/>
      <c r="BI872" s="69"/>
      <c r="BJ872" s="69"/>
      <c r="BK872" s="69"/>
      <c r="BL872" s="69"/>
      <c r="BM872" s="69"/>
      <c r="BN872" s="69"/>
      <c r="BO872" s="69"/>
      <c r="BP872" s="69"/>
      <c r="BQ872" s="69"/>
      <c r="BR872" s="8"/>
    </row>
    <row r="873" ht="12.0" customHeight="1">
      <c r="A873" s="69"/>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c r="AN873" s="78"/>
      <c r="AO873" s="78"/>
      <c r="AP873" s="78"/>
      <c r="AQ873" s="78"/>
      <c r="AR873" s="69"/>
      <c r="AS873" s="69"/>
      <c r="AT873" s="69"/>
      <c r="AU873" s="69"/>
      <c r="AV873" s="69"/>
      <c r="AW873" s="69"/>
      <c r="AX873" s="69"/>
      <c r="AY873" s="69"/>
      <c r="AZ873" s="69"/>
      <c r="BA873" s="69"/>
      <c r="BB873" s="69"/>
      <c r="BC873" s="69"/>
      <c r="BD873" s="69"/>
      <c r="BE873" s="69"/>
      <c r="BF873" s="69"/>
      <c r="BG873" s="69"/>
      <c r="BH873" s="69"/>
      <c r="BI873" s="69"/>
      <c r="BJ873" s="69"/>
      <c r="BK873" s="69"/>
      <c r="BL873" s="69"/>
      <c r="BM873" s="69"/>
      <c r="BN873" s="69"/>
      <c r="BO873" s="69"/>
      <c r="BP873" s="69"/>
      <c r="BQ873" s="69"/>
      <c r="BR873" s="8"/>
    </row>
    <row r="874" ht="12.0" customHeight="1">
      <c r="A874" s="69"/>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c r="AN874" s="78"/>
      <c r="AO874" s="78"/>
      <c r="AP874" s="78"/>
      <c r="AQ874" s="78"/>
      <c r="AR874" s="69"/>
      <c r="AS874" s="69"/>
      <c r="AT874" s="69"/>
      <c r="AU874" s="69"/>
      <c r="AV874" s="69"/>
      <c r="AW874" s="69"/>
      <c r="AX874" s="69"/>
      <c r="AY874" s="69"/>
      <c r="AZ874" s="69"/>
      <c r="BA874" s="69"/>
      <c r="BB874" s="69"/>
      <c r="BC874" s="69"/>
      <c r="BD874" s="69"/>
      <c r="BE874" s="69"/>
      <c r="BF874" s="69"/>
      <c r="BG874" s="69"/>
      <c r="BH874" s="69"/>
      <c r="BI874" s="69"/>
      <c r="BJ874" s="69"/>
      <c r="BK874" s="69"/>
      <c r="BL874" s="69"/>
      <c r="BM874" s="69"/>
      <c r="BN874" s="69"/>
      <c r="BO874" s="69"/>
      <c r="BP874" s="69"/>
      <c r="BQ874" s="69"/>
      <c r="BR874" s="8"/>
    </row>
    <row r="875" ht="12.0" customHeight="1">
      <c r="A875" s="69"/>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M875" s="78"/>
      <c r="AN875" s="78"/>
      <c r="AO875" s="78"/>
      <c r="AP875" s="78"/>
      <c r="AQ875" s="78"/>
      <c r="AR875" s="69"/>
      <c r="AS875" s="69"/>
      <c r="AT875" s="69"/>
      <c r="AU875" s="69"/>
      <c r="AV875" s="69"/>
      <c r="AW875" s="69"/>
      <c r="AX875" s="69"/>
      <c r="AY875" s="69"/>
      <c r="AZ875" s="69"/>
      <c r="BA875" s="69"/>
      <c r="BB875" s="69"/>
      <c r="BC875" s="69"/>
      <c r="BD875" s="69"/>
      <c r="BE875" s="69"/>
      <c r="BF875" s="69"/>
      <c r="BG875" s="69"/>
      <c r="BH875" s="69"/>
      <c r="BI875" s="69"/>
      <c r="BJ875" s="69"/>
      <c r="BK875" s="69"/>
      <c r="BL875" s="69"/>
      <c r="BM875" s="69"/>
      <c r="BN875" s="69"/>
      <c r="BO875" s="69"/>
      <c r="BP875" s="69"/>
      <c r="BQ875" s="69"/>
      <c r="BR875" s="8"/>
    </row>
    <row r="876" ht="12.0" customHeight="1">
      <c r="A876" s="69"/>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c r="AN876" s="78"/>
      <c r="AO876" s="78"/>
      <c r="AP876" s="78"/>
      <c r="AQ876" s="78"/>
      <c r="AR876" s="69"/>
      <c r="AS876" s="69"/>
      <c r="AT876" s="69"/>
      <c r="AU876" s="69"/>
      <c r="AV876" s="69"/>
      <c r="AW876" s="69"/>
      <c r="AX876" s="69"/>
      <c r="AY876" s="69"/>
      <c r="AZ876" s="69"/>
      <c r="BA876" s="69"/>
      <c r="BB876" s="69"/>
      <c r="BC876" s="69"/>
      <c r="BD876" s="69"/>
      <c r="BE876" s="69"/>
      <c r="BF876" s="69"/>
      <c r="BG876" s="69"/>
      <c r="BH876" s="69"/>
      <c r="BI876" s="69"/>
      <c r="BJ876" s="69"/>
      <c r="BK876" s="69"/>
      <c r="BL876" s="69"/>
      <c r="BM876" s="69"/>
      <c r="BN876" s="69"/>
      <c r="BO876" s="69"/>
      <c r="BP876" s="69"/>
      <c r="BQ876" s="69"/>
      <c r="BR876" s="8"/>
    </row>
    <row r="877" ht="12.0" customHeight="1">
      <c r="A877" s="69"/>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M877" s="78"/>
      <c r="AN877" s="78"/>
      <c r="AO877" s="78"/>
      <c r="AP877" s="78"/>
      <c r="AQ877" s="78"/>
      <c r="AR877" s="69"/>
      <c r="AS877" s="69"/>
      <c r="AT877" s="69"/>
      <c r="AU877" s="69"/>
      <c r="AV877" s="69"/>
      <c r="AW877" s="69"/>
      <c r="AX877" s="69"/>
      <c r="AY877" s="69"/>
      <c r="AZ877" s="69"/>
      <c r="BA877" s="69"/>
      <c r="BB877" s="69"/>
      <c r="BC877" s="69"/>
      <c r="BD877" s="69"/>
      <c r="BE877" s="69"/>
      <c r="BF877" s="69"/>
      <c r="BG877" s="69"/>
      <c r="BH877" s="69"/>
      <c r="BI877" s="69"/>
      <c r="BJ877" s="69"/>
      <c r="BK877" s="69"/>
      <c r="BL877" s="69"/>
      <c r="BM877" s="69"/>
      <c r="BN877" s="69"/>
      <c r="BO877" s="69"/>
      <c r="BP877" s="69"/>
      <c r="BQ877" s="69"/>
      <c r="BR877" s="8"/>
    </row>
    <row r="878" ht="12.0" customHeight="1">
      <c r="A878" s="69"/>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c r="AN878" s="78"/>
      <c r="AO878" s="78"/>
      <c r="AP878" s="78"/>
      <c r="AQ878" s="78"/>
      <c r="AR878" s="69"/>
      <c r="AS878" s="69"/>
      <c r="AT878" s="69"/>
      <c r="AU878" s="69"/>
      <c r="AV878" s="69"/>
      <c r="AW878" s="69"/>
      <c r="AX878" s="69"/>
      <c r="AY878" s="69"/>
      <c r="AZ878" s="69"/>
      <c r="BA878" s="69"/>
      <c r="BB878" s="69"/>
      <c r="BC878" s="69"/>
      <c r="BD878" s="69"/>
      <c r="BE878" s="69"/>
      <c r="BF878" s="69"/>
      <c r="BG878" s="69"/>
      <c r="BH878" s="69"/>
      <c r="BI878" s="69"/>
      <c r="BJ878" s="69"/>
      <c r="BK878" s="69"/>
      <c r="BL878" s="69"/>
      <c r="BM878" s="69"/>
      <c r="BN878" s="69"/>
      <c r="BO878" s="69"/>
      <c r="BP878" s="69"/>
      <c r="BQ878" s="69"/>
      <c r="BR878" s="8"/>
    </row>
    <row r="879" ht="12.0" customHeight="1">
      <c r="A879" s="69"/>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c r="AN879" s="78"/>
      <c r="AO879" s="78"/>
      <c r="AP879" s="78"/>
      <c r="AQ879" s="78"/>
      <c r="AR879" s="69"/>
      <c r="AS879" s="69"/>
      <c r="AT879" s="69"/>
      <c r="AU879" s="69"/>
      <c r="AV879" s="69"/>
      <c r="AW879" s="69"/>
      <c r="AX879" s="69"/>
      <c r="AY879" s="69"/>
      <c r="AZ879" s="69"/>
      <c r="BA879" s="69"/>
      <c r="BB879" s="69"/>
      <c r="BC879" s="69"/>
      <c r="BD879" s="69"/>
      <c r="BE879" s="69"/>
      <c r="BF879" s="69"/>
      <c r="BG879" s="69"/>
      <c r="BH879" s="69"/>
      <c r="BI879" s="69"/>
      <c r="BJ879" s="69"/>
      <c r="BK879" s="69"/>
      <c r="BL879" s="69"/>
      <c r="BM879" s="69"/>
      <c r="BN879" s="69"/>
      <c r="BO879" s="69"/>
      <c r="BP879" s="69"/>
      <c r="BQ879" s="69"/>
      <c r="BR879" s="8"/>
    </row>
    <row r="880" ht="12.0" customHeight="1">
      <c r="A880" s="69"/>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M880" s="78"/>
      <c r="AN880" s="78"/>
      <c r="AO880" s="78"/>
      <c r="AP880" s="78"/>
      <c r="AQ880" s="78"/>
      <c r="AR880" s="69"/>
      <c r="AS880" s="69"/>
      <c r="AT880" s="69"/>
      <c r="AU880" s="69"/>
      <c r="AV880" s="69"/>
      <c r="AW880" s="69"/>
      <c r="AX880" s="69"/>
      <c r="AY880" s="69"/>
      <c r="AZ880" s="69"/>
      <c r="BA880" s="69"/>
      <c r="BB880" s="69"/>
      <c r="BC880" s="69"/>
      <c r="BD880" s="69"/>
      <c r="BE880" s="69"/>
      <c r="BF880" s="69"/>
      <c r="BG880" s="69"/>
      <c r="BH880" s="69"/>
      <c r="BI880" s="69"/>
      <c r="BJ880" s="69"/>
      <c r="BK880" s="69"/>
      <c r="BL880" s="69"/>
      <c r="BM880" s="69"/>
      <c r="BN880" s="69"/>
      <c r="BO880" s="69"/>
      <c r="BP880" s="69"/>
      <c r="BQ880" s="69"/>
      <c r="BR880" s="8"/>
    </row>
    <row r="881" ht="12.0" customHeight="1">
      <c r="A881" s="69"/>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c r="AN881" s="78"/>
      <c r="AO881" s="78"/>
      <c r="AP881" s="78"/>
      <c r="AQ881" s="78"/>
      <c r="AR881" s="69"/>
      <c r="AS881" s="69"/>
      <c r="AT881" s="69"/>
      <c r="AU881" s="69"/>
      <c r="AV881" s="69"/>
      <c r="AW881" s="69"/>
      <c r="AX881" s="69"/>
      <c r="AY881" s="69"/>
      <c r="AZ881" s="69"/>
      <c r="BA881" s="69"/>
      <c r="BB881" s="69"/>
      <c r="BC881" s="69"/>
      <c r="BD881" s="69"/>
      <c r="BE881" s="69"/>
      <c r="BF881" s="69"/>
      <c r="BG881" s="69"/>
      <c r="BH881" s="69"/>
      <c r="BI881" s="69"/>
      <c r="BJ881" s="69"/>
      <c r="BK881" s="69"/>
      <c r="BL881" s="69"/>
      <c r="BM881" s="69"/>
      <c r="BN881" s="69"/>
      <c r="BO881" s="69"/>
      <c r="BP881" s="69"/>
      <c r="BQ881" s="69"/>
      <c r="BR881" s="8"/>
    </row>
    <row r="882" ht="12.0" customHeight="1">
      <c r="A882" s="69"/>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c r="AN882" s="78"/>
      <c r="AO882" s="78"/>
      <c r="AP882" s="78"/>
      <c r="AQ882" s="78"/>
      <c r="AR882" s="69"/>
      <c r="AS882" s="69"/>
      <c r="AT882" s="69"/>
      <c r="AU882" s="69"/>
      <c r="AV882" s="69"/>
      <c r="AW882" s="69"/>
      <c r="AX882" s="69"/>
      <c r="AY882" s="69"/>
      <c r="AZ882" s="69"/>
      <c r="BA882" s="69"/>
      <c r="BB882" s="69"/>
      <c r="BC882" s="69"/>
      <c r="BD882" s="69"/>
      <c r="BE882" s="69"/>
      <c r="BF882" s="69"/>
      <c r="BG882" s="69"/>
      <c r="BH882" s="69"/>
      <c r="BI882" s="69"/>
      <c r="BJ882" s="69"/>
      <c r="BK882" s="69"/>
      <c r="BL882" s="69"/>
      <c r="BM882" s="69"/>
      <c r="BN882" s="69"/>
      <c r="BO882" s="69"/>
      <c r="BP882" s="69"/>
      <c r="BQ882" s="69"/>
      <c r="BR882" s="8"/>
    </row>
    <row r="883" ht="12.0" customHeight="1">
      <c r="A883" s="69"/>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c r="AN883" s="78"/>
      <c r="AO883" s="78"/>
      <c r="AP883" s="78"/>
      <c r="AQ883" s="78"/>
      <c r="AR883" s="69"/>
      <c r="AS883" s="69"/>
      <c r="AT883" s="69"/>
      <c r="AU883" s="69"/>
      <c r="AV883" s="69"/>
      <c r="AW883" s="69"/>
      <c r="AX883" s="69"/>
      <c r="AY883" s="69"/>
      <c r="AZ883" s="69"/>
      <c r="BA883" s="69"/>
      <c r="BB883" s="69"/>
      <c r="BC883" s="69"/>
      <c r="BD883" s="69"/>
      <c r="BE883" s="69"/>
      <c r="BF883" s="69"/>
      <c r="BG883" s="69"/>
      <c r="BH883" s="69"/>
      <c r="BI883" s="69"/>
      <c r="BJ883" s="69"/>
      <c r="BK883" s="69"/>
      <c r="BL883" s="69"/>
      <c r="BM883" s="69"/>
      <c r="BN883" s="69"/>
      <c r="BO883" s="69"/>
      <c r="BP883" s="69"/>
      <c r="BQ883" s="69"/>
      <c r="BR883" s="8"/>
    </row>
    <row r="884" ht="12.0" customHeight="1">
      <c r="A884" s="69"/>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c r="AN884" s="78"/>
      <c r="AO884" s="78"/>
      <c r="AP884" s="78"/>
      <c r="AQ884" s="78"/>
      <c r="AR884" s="69"/>
      <c r="AS884" s="69"/>
      <c r="AT884" s="69"/>
      <c r="AU884" s="69"/>
      <c r="AV884" s="69"/>
      <c r="AW884" s="69"/>
      <c r="AX884" s="69"/>
      <c r="AY884" s="69"/>
      <c r="AZ884" s="69"/>
      <c r="BA884" s="69"/>
      <c r="BB884" s="69"/>
      <c r="BC884" s="69"/>
      <c r="BD884" s="69"/>
      <c r="BE884" s="69"/>
      <c r="BF884" s="69"/>
      <c r="BG884" s="69"/>
      <c r="BH884" s="69"/>
      <c r="BI884" s="69"/>
      <c r="BJ884" s="69"/>
      <c r="BK884" s="69"/>
      <c r="BL884" s="69"/>
      <c r="BM884" s="69"/>
      <c r="BN884" s="69"/>
      <c r="BO884" s="69"/>
      <c r="BP884" s="69"/>
      <c r="BQ884" s="69"/>
      <c r="BR884" s="8"/>
    </row>
    <row r="885" ht="12.0" customHeight="1">
      <c r="A885" s="69"/>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M885" s="78"/>
      <c r="AN885" s="78"/>
      <c r="AO885" s="78"/>
      <c r="AP885" s="78"/>
      <c r="AQ885" s="78"/>
      <c r="AR885" s="69"/>
      <c r="AS885" s="69"/>
      <c r="AT885" s="69"/>
      <c r="AU885" s="69"/>
      <c r="AV885" s="69"/>
      <c r="AW885" s="69"/>
      <c r="AX885" s="69"/>
      <c r="AY885" s="69"/>
      <c r="AZ885" s="69"/>
      <c r="BA885" s="69"/>
      <c r="BB885" s="69"/>
      <c r="BC885" s="69"/>
      <c r="BD885" s="69"/>
      <c r="BE885" s="69"/>
      <c r="BF885" s="69"/>
      <c r="BG885" s="69"/>
      <c r="BH885" s="69"/>
      <c r="BI885" s="69"/>
      <c r="BJ885" s="69"/>
      <c r="BK885" s="69"/>
      <c r="BL885" s="69"/>
      <c r="BM885" s="69"/>
      <c r="BN885" s="69"/>
      <c r="BO885" s="69"/>
      <c r="BP885" s="69"/>
      <c r="BQ885" s="69"/>
      <c r="BR885" s="8"/>
    </row>
    <row r="886" ht="12.0" customHeight="1">
      <c r="A886" s="69"/>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c r="AN886" s="78"/>
      <c r="AO886" s="78"/>
      <c r="AP886" s="78"/>
      <c r="AQ886" s="78"/>
      <c r="AR886" s="69"/>
      <c r="AS886" s="69"/>
      <c r="AT886" s="69"/>
      <c r="AU886" s="69"/>
      <c r="AV886" s="69"/>
      <c r="AW886" s="69"/>
      <c r="AX886" s="69"/>
      <c r="AY886" s="69"/>
      <c r="AZ886" s="69"/>
      <c r="BA886" s="69"/>
      <c r="BB886" s="69"/>
      <c r="BC886" s="69"/>
      <c r="BD886" s="69"/>
      <c r="BE886" s="69"/>
      <c r="BF886" s="69"/>
      <c r="BG886" s="69"/>
      <c r="BH886" s="69"/>
      <c r="BI886" s="69"/>
      <c r="BJ886" s="69"/>
      <c r="BK886" s="69"/>
      <c r="BL886" s="69"/>
      <c r="BM886" s="69"/>
      <c r="BN886" s="69"/>
      <c r="BO886" s="69"/>
      <c r="BP886" s="69"/>
      <c r="BQ886" s="69"/>
      <c r="BR886" s="8"/>
    </row>
    <row r="887" ht="12.0" customHeight="1">
      <c r="A887" s="69"/>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c r="AN887" s="78"/>
      <c r="AO887" s="78"/>
      <c r="AP887" s="78"/>
      <c r="AQ887" s="78"/>
      <c r="AR887" s="69"/>
      <c r="AS887" s="69"/>
      <c r="AT887" s="69"/>
      <c r="AU887" s="69"/>
      <c r="AV887" s="69"/>
      <c r="AW887" s="69"/>
      <c r="AX887" s="69"/>
      <c r="AY887" s="69"/>
      <c r="AZ887" s="69"/>
      <c r="BA887" s="69"/>
      <c r="BB887" s="69"/>
      <c r="BC887" s="69"/>
      <c r="BD887" s="69"/>
      <c r="BE887" s="69"/>
      <c r="BF887" s="69"/>
      <c r="BG887" s="69"/>
      <c r="BH887" s="69"/>
      <c r="BI887" s="69"/>
      <c r="BJ887" s="69"/>
      <c r="BK887" s="69"/>
      <c r="BL887" s="69"/>
      <c r="BM887" s="69"/>
      <c r="BN887" s="69"/>
      <c r="BO887" s="69"/>
      <c r="BP887" s="69"/>
      <c r="BQ887" s="69"/>
      <c r="BR887" s="8"/>
    </row>
    <row r="888" ht="12.0" customHeight="1">
      <c r="A888" s="69"/>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M888" s="78"/>
      <c r="AN888" s="78"/>
      <c r="AO888" s="78"/>
      <c r="AP888" s="78"/>
      <c r="AQ888" s="78"/>
      <c r="AR888" s="69"/>
      <c r="AS888" s="69"/>
      <c r="AT888" s="69"/>
      <c r="AU888" s="69"/>
      <c r="AV888" s="69"/>
      <c r="AW888" s="69"/>
      <c r="AX888" s="69"/>
      <c r="AY888" s="69"/>
      <c r="AZ888" s="69"/>
      <c r="BA888" s="69"/>
      <c r="BB888" s="69"/>
      <c r="BC888" s="69"/>
      <c r="BD888" s="69"/>
      <c r="BE888" s="69"/>
      <c r="BF888" s="69"/>
      <c r="BG888" s="69"/>
      <c r="BH888" s="69"/>
      <c r="BI888" s="69"/>
      <c r="BJ888" s="69"/>
      <c r="BK888" s="69"/>
      <c r="BL888" s="69"/>
      <c r="BM888" s="69"/>
      <c r="BN888" s="69"/>
      <c r="BO888" s="69"/>
      <c r="BP888" s="69"/>
      <c r="BQ888" s="69"/>
      <c r="BR888" s="8"/>
    </row>
    <row r="889" ht="12.0" customHeight="1">
      <c r="A889" s="69"/>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c r="AN889" s="78"/>
      <c r="AO889" s="78"/>
      <c r="AP889" s="78"/>
      <c r="AQ889" s="78"/>
      <c r="AR889" s="69"/>
      <c r="AS889" s="69"/>
      <c r="AT889" s="69"/>
      <c r="AU889" s="69"/>
      <c r="AV889" s="69"/>
      <c r="AW889" s="69"/>
      <c r="AX889" s="69"/>
      <c r="AY889" s="69"/>
      <c r="AZ889" s="69"/>
      <c r="BA889" s="69"/>
      <c r="BB889" s="69"/>
      <c r="BC889" s="69"/>
      <c r="BD889" s="69"/>
      <c r="BE889" s="69"/>
      <c r="BF889" s="69"/>
      <c r="BG889" s="69"/>
      <c r="BH889" s="69"/>
      <c r="BI889" s="69"/>
      <c r="BJ889" s="69"/>
      <c r="BK889" s="69"/>
      <c r="BL889" s="69"/>
      <c r="BM889" s="69"/>
      <c r="BN889" s="69"/>
      <c r="BO889" s="69"/>
      <c r="BP889" s="69"/>
      <c r="BQ889" s="69"/>
      <c r="BR889" s="8"/>
    </row>
    <row r="890" ht="12.0" customHeight="1">
      <c r="A890" s="69"/>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c r="AN890" s="78"/>
      <c r="AO890" s="78"/>
      <c r="AP890" s="78"/>
      <c r="AQ890" s="78"/>
      <c r="AR890" s="69"/>
      <c r="AS890" s="69"/>
      <c r="AT890" s="69"/>
      <c r="AU890" s="69"/>
      <c r="AV890" s="69"/>
      <c r="AW890" s="69"/>
      <c r="AX890" s="69"/>
      <c r="AY890" s="69"/>
      <c r="AZ890" s="69"/>
      <c r="BA890" s="69"/>
      <c r="BB890" s="69"/>
      <c r="BC890" s="69"/>
      <c r="BD890" s="69"/>
      <c r="BE890" s="69"/>
      <c r="BF890" s="69"/>
      <c r="BG890" s="69"/>
      <c r="BH890" s="69"/>
      <c r="BI890" s="69"/>
      <c r="BJ890" s="69"/>
      <c r="BK890" s="69"/>
      <c r="BL890" s="69"/>
      <c r="BM890" s="69"/>
      <c r="BN890" s="69"/>
      <c r="BO890" s="69"/>
      <c r="BP890" s="69"/>
      <c r="BQ890" s="69"/>
      <c r="BR890" s="8"/>
    </row>
    <row r="891" ht="12.0" customHeight="1">
      <c r="A891" s="69"/>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M891" s="78"/>
      <c r="AN891" s="78"/>
      <c r="AO891" s="78"/>
      <c r="AP891" s="78"/>
      <c r="AQ891" s="78"/>
      <c r="AR891" s="69"/>
      <c r="AS891" s="69"/>
      <c r="AT891" s="69"/>
      <c r="AU891" s="69"/>
      <c r="AV891" s="69"/>
      <c r="AW891" s="69"/>
      <c r="AX891" s="69"/>
      <c r="AY891" s="69"/>
      <c r="AZ891" s="69"/>
      <c r="BA891" s="69"/>
      <c r="BB891" s="69"/>
      <c r="BC891" s="69"/>
      <c r="BD891" s="69"/>
      <c r="BE891" s="69"/>
      <c r="BF891" s="69"/>
      <c r="BG891" s="69"/>
      <c r="BH891" s="69"/>
      <c r="BI891" s="69"/>
      <c r="BJ891" s="69"/>
      <c r="BK891" s="69"/>
      <c r="BL891" s="69"/>
      <c r="BM891" s="69"/>
      <c r="BN891" s="69"/>
      <c r="BO891" s="69"/>
      <c r="BP891" s="69"/>
      <c r="BQ891" s="69"/>
      <c r="BR891" s="8"/>
    </row>
    <row r="892" ht="12.0" customHeight="1">
      <c r="A892" s="69"/>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c r="AN892" s="78"/>
      <c r="AO892" s="78"/>
      <c r="AP892" s="78"/>
      <c r="AQ892" s="78"/>
      <c r="AR892" s="69"/>
      <c r="AS892" s="69"/>
      <c r="AT892" s="69"/>
      <c r="AU892" s="69"/>
      <c r="AV892" s="69"/>
      <c r="AW892" s="69"/>
      <c r="AX892" s="69"/>
      <c r="AY892" s="69"/>
      <c r="AZ892" s="69"/>
      <c r="BA892" s="69"/>
      <c r="BB892" s="69"/>
      <c r="BC892" s="69"/>
      <c r="BD892" s="69"/>
      <c r="BE892" s="69"/>
      <c r="BF892" s="69"/>
      <c r="BG892" s="69"/>
      <c r="BH892" s="69"/>
      <c r="BI892" s="69"/>
      <c r="BJ892" s="69"/>
      <c r="BK892" s="69"/>
      <c r="BL892" s="69"/>
      <c r="BM892" s="69"/>
      <c r="BN892" s="69"/>
      <c r="BO892" s="69"/>
      <c r="BP892" s="69"/>
      <c r="BQ892" s="69"/>
      <c r="BR892" s="8"/>
    </row>
    <row r="893" ht="12.0" customHeight="1">
      <c r="A893" s="69"/>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c r="AN893" s="78"/>
      <c r="AO893" s="78"/>
      <c r="AP893" s="78"/>
      <c r="AQ893" s="78"/>
      <c r="AR893" s="69"/>
      <c r="AS893" s="69"/>
      <c r="AT893" s="69"/>
      <c r="AU893" s="69"/>
      <c r="AV893" s="69"/>
      <c r="AW893" s="69"/>
      <c r="AX893" s="69"/>
      <c r="AY893" s="69"/>
      <c r="AZ893" s="69"/>
      <c r="BA893" s="69"/>
      <c r="BB893" s="69"/>
      <c r="BC893" s="69"/>
      <c r="BD893" s="69"/>
      <c r="BE893" s="69"/>
      <c r="BF893" s="69"/>
      <c r="BG893" s="69"/>
      <c r="BH893" s="69"/>
      <c r="BI893" s="69"/>
      <c r="BJ893" s="69"/>
      <c r="BK893" s="69"/>
      <c r="BL893" s="69"/>
      <c r="BM893" s="69"/>
      <c r="BN893" s="69"/>
      <c r="BO893" s="69"/>
      <c r="BP893" s="69"/>
      <c r="BQ893" s="69"/>
      <c r="BR893" s="8"/>
    </row>
    <row r="894" ht="12.0" customHeight="1">
      <c r="A894" s="69"/>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c r="AN894" s="78"/>
      <c r="AO894" s="78"/>
      <c r="AP894" s="78"/>
      <c r="AQ894" s="78"/>
      <c r="AR894" s="69"/>
      <c r="AS894" s="69"/>
      <c r="AT894" s="69"/>
      <c r="AU894" s="69"/>
      <c r="AV894" s="69"/>
      <c r="AW894" s="69"/>
      <c r="AX894" s="69"/>
      <c r="AY894" s="69"/>
      <c r="AZ894" s="69"/>
      <c r="BA894" s="69"/>
      <c r="BB894" s="69"/>
      <c r="BC894" s="69"/>
      <c r="BD894" s="69"/>
      <c r="BE894" s="69"/>
      <c r="BF894" s="69"/>
      <c r="BG894" s="69"/>
      <c r="BH894" s="69"/>
      <c r="BI894" s="69"/>
      <c r="BJ894" s="69"/>
      <c r="BK894" s="69"/>
      <c r="BL894" s="69"/>
      <c r="BM894" s="69"/>
      <c r="BN894" s="69"/>
      <c r="BO894" s="69"/>
      <c r="BP894" s="69"/>
      <c r="BQ894" s="69"/>
      <c r="BR894" s="8"/>
    </row>
    <row r="895" ht="12.0" customHeight="1">
      <c r="A895" s="69"/>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c r="AN895" s="78"/>
      <c r="AO895" s="78"/>
      <c r="AP895" s="78"/>
      <c r="AQ895" s="78"/>
      <c r="AR895" s="69"/>
      <c r="AS895" s="69"/>
      <c r="AT895" s="69"/>
      <c r="AU895" s="69"/>
      <c r="AV895" s="69"/>
      <c r="AW895" s="69"/>
      <c r="AX895" s="69"/>
      <c r="AY895" s="69"/>
      <c r="AZ895" s="69"/>
      <c r="BA895" s="69"/>
      <c r="BB895" s="69"/>
      <c r="BC895" s="69"/>
      <c r="BD895" s="69"/>
      <c r="BE895" s="69"/>
      <c r="BF895" s="69"/>
      <c r="BG895" s="69"/>
      <c r="BH895" s="69"/>
      <c r="BI895" s="69"/>
      <c r="BJ895" s="69"/>
      <c r="BK895" s="69"/>
      <c r="BL895" s="69"/>
      <c r="BM895" s="69"/>
      <c r="BN895" s="69"/>
      <c r="BO895" s="69"/>
      <c r="BP895" s="69"/>
      <c r="BQ895" s="69"/>
      <c r="BR895" s="8"/>
    </row>
    <row r="896" ht="12.0" customHeight="1">
      <c r="A896" s="69"/>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c r="AN896" s="78"/>
      <c r="AO896" s="78"/>
      <c r="AP896" s="78"/>
      <c r="AQ896" s="78"/>
      <c r="AR896" s="69"/>
      <c r="AS896" s="69"/>
      <c r="AT896" s="69"/>
      <c r="AU896" s="69"/>
      <c r="AV896" s="69"/>
      <c r="AW896" s="69"/>
      <c r="AX896" s="69"/>
      <c r="AY896" s="69"/>
      <c r="AZ896" s="69"/>
      <c r="BA896" s="69"/>
      <c r="BB896" s="69"/>
      <c r="BC896" s="69"/>
      <c r="BD896" s="69"/>
      <c r="BE896" s="69"/>
      <c r="BF896" s="69"/>
      <c r="BG896" s="69"/>
      <c r="BH896" s="69"/>
      <c r="BI896" s="69"/>
      <c r="BJ896" s="69"/>
      <c r="BK896" s="69"/>
      <c r="BL896" s="69"/>
      <c r="BM896" s="69"/>
      <c r="BN896" s="69"/>
      <c r="BO896" s="69"/>
      <c r="BP896" s="69"/>
      <c r="BQ896" s="69"/>
      <c r="BR896" s="8"/>
    </row>
    <row r="897" ht="12.0" customHeight="1">
      <c r="A897" s="69"/>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c r="AN897" s="78"/>
      <c r="AO897" s="78"/>
      <c r="AP897" s="78"/>
      <c r="AQ897" s="78"/>
      <c r="AR897" s="69"/>
      <c r="AS897" s="69"/>
      <c r="AT897" s="69"/>
      <c r="AU897" s="69"/>
      <c r="AV897" s="69"/>
      <c r="AW897" s="69"/>
      <c r="AX897" s="69"/>
      <c r="AY897" s="69"/>
      <c r="AZ897" s="69"/>
      <c r="BA897" s="69"/>
      <c r="BB897" s="69"/>
      <c r="BC897" s="69"/>
      <c r="BD897" s="69"/>
      <c r="BE897" s="69"/>
      <c r="BF897" s="69"/>
      <c r="BG897" s="69"/>
      <c r="BH897" s="69"/>
      <c r="BI897" s="69"/>
      <c r="BJ897" s="69"/>
      <c r="BK897" s="69"/>
      <c r="BL897" s="69"/>
      <c r="BM897" s="69"/>
      <c r="BN897" s="69"/>
      <c r="BO897" s="69"/>
      <c r="BP897" s="69"/>
      <c r="BQ897" s="69"/>
      <c r="BR897" s="8"/>
    </row>
    <row r="898" ht="12.0" customHeight="1">
      <c r="A898" s="69"/>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c r="AN898" s="78"/>
      <c r="AO898" s="78"/>
      <c r="AP898" s="78"/>
      <c r="AQ898" s="78"/>
      <c r="AR898" s="69"/>
      <c r="AS898" s="69"/>
      <c r="AT898" s="69"/>
      <c r="AU898" s="69"/>
      <c r="AV898" s="69"/>
      <c r="AW898" s="69"/>
      <c r="AX898" s="69"/>
      <c r="AY898" s="69"/>
      <c r="AZ898" s="69"/>
      <c r="BA898" s="69"/>
      <c r="BB898" s="69"/>
      <c r="BC898" s="69"/>
      <c r="BD898" s="69"/>
      <c r="BE898" s="69"/>
      <c r="BF898" s="69"/>
      <c r="BG898" s="69"/>
      <c r="BH898" s="69"/>
      <c r="BI898" s="69"/>
      <c r="BJ898" s="69"/>
      <c r="BK898" s="69"/>
      <c r="BL898" s="69"/>
      <c r="BM898" s="69"/>
      <c r="BN898" s="69"/>
      <c r="BO898" s="69"/>
      <c r="BP898" s="69"/>
      <c r="BQ898" s="69"/>
      <c r="BR898" s="8"/>
    </row>
    <row r="899" ht="12.0" customHeight="1">
      <c r="A899" s="69"/>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c r="AN899" s="78"/>
      <c r="AO899" s="78"/>
      <c r="AP899" s="78"/>
      <c r="AQ899" s="78"/>
      <c r="AR899" s="69"/>
      <c r="AS899" s="69"/>
      <c r="AT899" s="69"/>
      <c r="AU899" s="69"/>
      <c r="AV899" s="69"/>
      <c r="AW899" s="69"/>
      <c r="AX899" s="69"/>
      <c r="AY899" s="69"/>
      <c r="AZ899" s="69"/>
      <c r="BA899" s="69"/>
      <c r="BB899" s="69"/>
      <c r="BC899" s="69"/>
      <c r="BD899" s="69"/>
      <c r="BE899" s="69"/>
      <c r="BF899" s="69"/>
      <c r="BG899" s="69"/>
      <c r="BH899" s="69"/>
      <c r="BI899" s="69"/>
      <c r="BJ899" s="69"/>
      <c r="BK899" s="69"/>
      <c r="BL899" s="69"/>
      <c r="BM899" s="69"/>
      <c r="BN899" s="69"/>
      <c r="BO899" s="69"/>
      <c r="BP899" s="69"/>
      <c r="BQ899" s="69"/>
      <c r="BR899" s="8"/>
    </row>
    <row r="900" ht="12.0" customHeight="1">
      <c r="A900" s="69"/>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M900" s="78"/>
      <c r="AN900" s="78"/>
      <c r="AO900" s="78"/>
      <c r="AP900" s="78"/>
      <c r="AQ900" s="78"/>
      <c r="AR900" s="69"/>
      <c r="AS900" s="69"/>
      <c r="AT900" s="69"/>
      <c r="AU900" s="69"/>
      <c r="AV900" s="69"/>
      <c r="AW900" s="69"/>
      <c r="AX900" s="69"/>
      <c r="AY900" s="69"/>
      <c r="AZ900" s="69"/>
      <c r="BA900" s="69"/>
      <c r="BB900" s="69"/>
      <c r="BC900" s="69"/>
      <c r="BD900" s="69"/>
      <c r="BE900" s="69"/>
      <c r="BF900" s="69"/>
      <c r="BG900" s="69"/>
      <c r="BH900" s="69"/>
      <c r="BI900" s="69"/>
      <c r="BJ900" s="69"/>
      <c r="BK900" s="69"/>
      <c r="BL900" s="69"/>
      <c r="BM900" s="69"/>
      <c r="BN900" s="69"/>
      <c r="BO900" s="69"/>
      <c r="BP900" s="69"/>
      <c r="BQ900" s="69"/>
      <c r="BR900" s="8"/>
    </row>
    <row r="901" ht="12.0" customHeight="1">
      <c r="A901" s="69"/>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M901" s="78"/>
      <c r="AN901" s="78"/>
      <c r="AO901" s="78"/>
      <c r="AP901" s="78"/>
      <c r="AQ901" s="78"/>
      <c r="AR901" s="69"/>
      <c r="AS901" s="69"/>
      <c r="AT901" s="69"/>
      <c r="AU901" s="69"/>
      <c r="AV901" s="69"/>
      <c r="AW901" s="69"/>
      <c r="AX901" s="69"/>
      <c r="AY901" s="69"/>
      <c r="AZ901" s="69"/>
      <c r="BA901" s="69"/>
      <c r="BB901" s="69"/>
      <c r="BC901" s="69"/>
      <c r="BD901" s="69"/>
      <c r="BE901" s="69"/>
      <c r="BF901" s="69"/>
      <c r="BG901" s="69"/>
      <c r="BH901" s="69"/>
      <c r="BI901" s="69"/>
      <c r="BJ901" s="69"/>
      <c r="BK901" s="69"/>
      <c r="BL901" s="69"/>
      <c r="BM901" s="69"/>
      <c r="BN901" s="69"/>
      <c r="BO901" s="69"/>
      <c r="BP901" s="69"/>
      <c r="BQ901" s="69"/>
      <c r="BR901" s="8"/>
    </row>
    <row r="902" ht="12.0" customHeight="1">
      <c r="A902" s="69"/>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c r="AN902" s="78"/>
      <c r="AO902" s="78"/>
      <c r="AP902" s="78"/>
      <c r="AQ902" s="78"/>
      <c r="AR902" s="69"/>
      <c r="AS902" s="69"/>
      <c r="AT902" s="69"/>
      <c r="AU902" s="69"/>
      <c r="AV902" s="69"/>
      <c r="AW902" s="69"/>
      <c r="AX902" s="69"/>
      <c r="AY902" s="69"/>
      <c r="AZ902" s="69"/>
      <c r="BA902" s="69"/>
      <c r="BB902" s="69"/>
      <c r="BC902" s="69"/>
      <c r="BD902" s="69"/>
      <c r="BE902" s="69"/>
      <c r="BF902" s="69"/>
      <c r="BG902" s="69"/>
      <c r="BH902" s="69"/>
      <c r="BI902" s="69"/>
      <c r="BJ902" s="69"/>
      <c r="BK902" s="69"/>
      <c r="BL902" s="69"/>
      <c r="BM902" s="69"/>
      <c r="BN902" s="69"/>
      <c r="BO902" s="69"/>
      <c r="BP902" s="69"/>
      <c r="BQ902" s="69"/>
      <c r="BR902" s="8"/>
    </row>
    <row r="903" ht="12.0" customHeight="1">
      <c r="A903" s="69"/>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M903" s="78"/>
      <c r="AN903" s="78"/>
      <c r="AO903" s="78"/>
      <c r="AP903" s="78"/>
      <c r="AQ903" s="78"/>
      <c r="AR903" s="69"/>
      <c r="AS903" s="69"/>
      <c r="AT903" s="69"/>
      <c r="AU903" s="69"/>
      <c r="AV903" s="69"/>
      <c r="AW903" s="69"/>
      <c r="AX903" s="69"/>
      <c r="AY903" s="69"/>
      <c r="AZ903" s="69"/>
      <c r="BA903" s="69"/>
      <c r="BB903" s="69"/>
      <c r="BC903" s="69"/>
      <c r="BD903" s="69"/>
      <c r="BE903" s="69"/>
      <c r="BF903" s="69"/>
      <c r="BG903" s="69"/>
      <c r="BH903" s="69"/>
      <c r="BI903" s="69"/>
      <c r="BJ903" s="69"/>
      <c r="BK903" s="69"/>
      <c r="BL903" s="69"/>
      <c r="BM903" s="69"/>
      <c r="BN903" s="69"/>
      <c r="BO903" s="69"/>
      <c r="BP903" s="69"/>
      <c r="BQ903" s="69"/>
      <c r="BR903" s="8"/>
    </row>
    <row r="904" ht="12.0" customHeight="1">
      <c r="A904" s="69"/>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c r="AP904" s="78"/>
      <c r="AQ904" s="78"/>
      <c r="AR904" s="69"/>
      <c r="AS904" s="69"/>
      <c r="AT904" s="69"/>
      <c r="AU904" s="69"/>
      <c r="AV904" s="69"/>
      <c r="AW904" s="69"/>
      <c r="AX904" s="69"/>
      <c r="AY904" s="69"/>
      <c r="AZ904" s="69"/>
      <c r="BA904" s="69"/>
      <c r="BB904" s="69"/>
      <c r="BC904" s="69"/>
      <c r="BD904" s="69"/>
      <c r="BE904" s="69"/>
      <c r="BF904" s="69"/>
      <c r="BG904" s="69"/>
      <c r="BH904" s="69"/>
      <c r="BI904" s="69"/>
      <c r="BJ904" s="69"/>
      <c r="BK904" s="69"/>
      <c r="BL904" s="69"/>
      <c r="BM904" s="69"/>
      <c r="BN904" s="69"/>
      <c r="BO904" s="69"/>
      <c r="BP904" s="69"/>
      <c r="BQ904" s="69"/>
      <c r="BR904" s="8"/>
    </row>
    <row r="905" ht="12.0" customHeight="1">
      <c r="A905" s="69"/>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c r="AN905" s="78"/>
      <c r="AO905" s="78"/>
      <c r="AP905" s="78"/>
      <c r="AQ905" s="78"/>
      <c r="AR905" s="69"/>
      <c r="AS905" s="69"/>
      <c r="AT905" s="69"/>
      <c r="AU905" s="69"/>
      <c r="AV905" s="69"/>
      <c r="AW905" s="69"/>
      <c r="AX905" s="69"/>
      <c r="AY905" s="69"/>
      <c r="AZ905" s="69"/>
      <c r="BA905" s="69"/>
      <c r="BB905" s="69"/>
      <c r="BC905" s="69"/>
      <c r="BD905" s="69"/>
      <c r="BE905" s="69"/>
      <c r="BF905" s="69"/>
      <c r="BG905" s="69"/>
      <c r="BH905" s="69"/>
      <c r="BI905" s="69"/>
      <c r="BJ905" s="69"/>
      <c r="BK905" s="69"/>
      <c r="BL905" s="69"/>
      <c r="BM905" s="69"/>
      <c r="BN905" s="69"/>
      <c r="BO905" s="69"/>
      <c r="BP905" s="69"/>
      <c r="BQ905" s="69"/>
      <c r="BR905" s="8"/>
    </row>
    <row r="906" ht="12.0" customHeight="1">
      <c r="A906" s="69"/>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M906" s="78"/>
      <c r="AN906" s="78"/>
      <c r="AO906" s="78"/>
      <c r="AP906" s="78"/>
      <c r="AQ906" s="78"/>
      <c r="AR906" s="69"/>
      <c r="AS906" s="69"/>
      <c r="AT906" s="69"/>
      <c r="AU906" s="69"/>
      <c r="AV906" s="69"/>
      <c r="AW906" s="69"/>
      <c r="AX906" s="69"/>
      <c r="AY906" s="69"/>
      <c r="AZ906" s="69"/>
      <c r="BA906" s="69"/>
      <c r="BB906" s="69"/>
      <c r="BC906" s="69"/>
      <c r="BD906" s="69"/>
      <c r="BE906" s="69"/>
      <c r="BF906" s="69"/>
      <c r="BG906" s="69"/>
      <c r="BH906" s="69"/>
      <c r="BI906" s="69"/>
      <c r="BJ906" s="69"/>
      <c r="BK906" s="69"/>
      <c r="BL906" s="69"/>
      <c r="BM906" s="69"/>
      <c r="BN906" s="69"/>
      <c r="BO906" s="69"/>
      <c r="BP906" s="69"/>
      <c r="BQ906" s="69"/>
      <c r="BR906" s="8"/>
    </row>
    <row r="907" ht="12.0" customHeight="1">
      <c r="A907" s="69"/>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c r="AN907" s="78"/>
      <c r="AO907" s="78"/>
      <c r="AP907" s="78"/>
      <c r="AQ907" s="78"/>
      <c r="AR907" s="69"/>
      <c r="AS907" s="69"/>
      <c r="AT907" s="69"/>
      <c r="AU907" s="69"/>
      <c r="AV907" s="69"/>
      <c r="AW907" s="69"/>
      <c r="AX907" s="69"/>
      <c r="AY907" s="69"/>
      <c r="AZ907" s="69"/>
      <c r="BA907" s="69"/>
      <c r="BB907" s="69"/>
      <c r="BC907" s="69"/>
      <c r="BD907" s="69"/>
      <c r="BE907" s="69"/>
      <c r="BF907" s="69"/>
      <c r="BG907" s="69"/>
      <c r="BH907" s="69"/>
      <c r="BI907" s="69"/>
      <c r="BJ907" s="69"/>
      <c r="BK907" s="69"/>
      <c r="BL907" s="69"/>
      <c r="BM907" s="69"/>
      <c r="BN907" s="69"/>
      <c r="BO907" s="69"/>
      <c r="BP907" s="69"/>
      <c r="BQ907" s="69"/>
      <c r="BR907" s="8"/>
    </row>
    <row r="908" ht="12.0" customHeight="1">
      <c r="A908" s="69"/>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c r="AN908" s="78"/>
      <c r="AO908" s="78"/>
      <c r="AP908" s="78"/>
      <c r="AQ908" s="78"/>
      <c r="AR908" s="69"/>
      <c r="AS908" s="69"/>
      <c r="AT908" s="69"/>
      <c r="AU908" s="69"/>
      <c r="AV908" s="69"/>
      <c r="AW908" s="69"/>
      <c r="AX908" s="69"/>
      <c r="AY908" s="69"/>
      <c r="AZ908" s="69"/>
      <c r="BA908" s="69"/>
      <c r="BB908" s="69"/>
      <c r="BC908" s="69"/>
      <c r="BD908" s="69"/>
      <c r="BE908" s="69"/>
      <c r="BF908" s="69"/>
      <c r="BG908" s="69"/>
      <c r="BH908" s="69"/>
      <c r="BI908" s="69"/>
      <c r="BJ908" s="69"/>
      <c r="BK908" s="69"/>
      <c r="BL908" s="69"/>
      <c r="BM908" s="69"/>
      <c r="BN908" s="69"/>
      <c r="BO908" s="69"/>
      <c r="BP908" s="69"/>
      <c r="BQ908" s="69"/>
      <c r="BR908" s="8"/>
    </row>
    <row r="909" ht="12.0" customHeight="1">
      <c r="A909" s="69"/>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c r="AN909" s="78"/>
      <c r="AO909" s="78"/>
      <c r="AP909" s="78"/>
      <c r="AQ909" s="78"/>
      <c r="AR909" s="69"/>
      <c r="AS909" s="69"/>
      <c r="AT909" s="69"/>
      <c r="AU909" s="69"/>
      <c r="AV909" s="69"/>
      <c r="AW909" s="69"/>
      <c r="AX909" s="69"/>
      <c r="AY909" s="69"/>
      <c r="AZ909" s="69"/>
      <c r="BA909" s="69"/>
      <c r="BB909" s="69"/>
      <c r="BC909" s="69"/>
      <c r="BD909" s="69"/>
      <c r="BE909" s="69"/>
      <c r="BF909" s="69"/>
      <c r="BG909" s="69"/>
      <c r="BH909" s="69"/>
      <c r="BI909" s="69"/>
      <c r="BJ909" s="69"/>
      <c r="BK909" s="69"/>
      <c r="BL909" s="69"/>
      <c r="BM909" s="69"/>
      <c r="BN909" s="69"/>
      <c r="BO909" s="69"/>
      <c r="BP909" s="69"/>
      <c r="BQ909" s="69"/>
      <c r="BR909" s="8"/>
    </row>
    <row r="910" ht="12.0" customHeight="1">
      <c r="A910" s="69"/>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c r="AN910" s="78"/>
      <c r="AO910" s="78"/>
      <c r="AP910" s="78"/>
      <c r="AQ910" s="78"/>
      <c r="AR910" s="69"/>
      <c r="AS910" s="69"/>
      <c r="AT910" s="69"/>
      <c r="AU910" s="69"/>
      <c r="AV910" s="69"/>
      <c r="AW910" s="69"/>
      <c r="AX910" s="69"/>
      <c r="AY910" s="69"/>
      <c r="AZ910" s="69"/>
      <c r="BA910" s="69"/>
      <c r="BB910" s="69"/>
      <c r="BC910" s="69"/>
      <c r="BD910" s="69"/>
      <c r="BE910" s="69"/>
      <c r="BF910" s="69"/>
      <c r="BG910" s="69"/>
      <c r="BH910" s="69"/>
      <c r="BI910" s="69"/>
      <c r="BJ910" s="69"/>
      <c r="BK910" s="69"/>
      <c r="BL910" s="69"/>
      <c r="BM910" s="69"/>
      <c r="BN910" s="69"/>
      <c r="BO910" s="69"/>
      <c r="BP910" s="69"/>
      <c r="BQ910" s="69"/>
      <c r="BR910" s="8"/>
    </row>
    <row r="911" ht="12.0" customHeight="1">
      <c r="A911" s="69"/>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M911" s="78"/>
      <c r="AN911" s="78"/>
      <c r="AO911" s="78"/>
      <c r="AP911" s="78"/>
      <c r="AQ911" s="78"/>
      <c r="AR911" s="69"/>
      <c r="AS911" s="69"/>
      <c r="AT911" s="69"/>
      <c r="AU911" s="69"/>
      <c r="AV911" s="69"/>
      <c r="AW911" s="69"/>
      <c r="AX911" s="69"/>
      <c r="AY911" s="69"/>
      <c r="AZ911" s="69"/>
      <c r="BA911" s="69"/>
      <c r="BB911" s="69"/>
      <c r="BC911" s="69"/>
      <c r="BD911" s="69"/>
      <c r="BE911" s="69"/>
      <c r="BF911" s="69"/>
      <c r="BG911" s="69"/>
      <c r="BH911" s="69"/>
      <c r="BI911" s="69"/>
      <c r="BJ911" s="69"/>
      <c r="BK911" s="69"/>
      <c r="BL911" s="69"/>
      <c r="BM911" s="69"/>
      <c r="BN911" s="69"/>
      <c r="BO911" s="69"/>
      <c r="BP911" s="69"/>
      <c r="BQ911" s="69"/>
      <c r="BR911" s="8"/>
    </row>
    <row r="912" ht="12.0" customHeight="1">
      <c r="A912" s="69"/>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c r="AN912" s="78"/>
      <c r="AO912" s="78"/>
      <c r="AP912" s="78"/>
      <c r="AQ912" s="78"/>
      <c r="AR912" s="69"/>
      <c r="AS912" s="69"/>
      <c r="AT912" s="69"/>
      <c r="AU912" s="69"/>
      <c r="AV912" s="69"/>
      <c r="AW912" s="69"/>
      <c r="AX912" s="69"/>
      <c r="AY912" s="69"/>
      <c r="AZ912" s="69"/>
      <c r="BA912" s="69"/>
      <c r="BB912" s="69"/>
      <c r="BC912" s="69"/>
      <c r="BD912" s="69"/>
      <c r="BE912" s="69"/>
      <c r="BF912" s="69"/>
      <c r="BG912" s="69"/>
      <c r="BH912" s="69"/>
      <c r="BI912" s="69"/>
      <c r="BJ912" s="69"/>
      <c r="BK912" s="69"/>
      <c r="BL912" s="69"/>
      <c r="BM912" s="69"/>
      <c r="BN912" s="69"/>
      <c r="BO912" s="69"/>
      <c r="BP912" s="69"/>
      <c r="BQ912" s="69"/>
      <c r="BR912" s="8"/>
    </row>
    <row r="913" ht="12.0" customHeight="1">
      <c r="A913" s="69"/>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M913" s="78"/>
      <c r="AN913" s="78"/>
      <c r="AO913" s="78"/>
      <c r="AP913" s="78"/>
      <c r="AQ913" s="78"/>
      <c r="AR913" s="69"/>
      <c r="AS913" s="69"/>
      <c r="AT913" s="69"/>
      <c r="AU913" s="69"/>
      <c r="AV913" s="69"/>
      <c r="AW913" s="69"/>
      <c r="AX913" s="69"/>
      <c r="AY913" s="69"/>
      <c r="AZ913" s="69"/>
      <c r="BA913" s="69"/>
      <c r="BB913" s="69"/>
      <c r="BC913" s="69"/>
      <c r="BD913" s="69"/>
      <c r="BE913" s="69"/>
      <c r="BF913" s="69"/>
      <c r="BG913" s="69"/>
      <c r="BH913" s="69"/>
      <c r="BI913" s="69"/>
      <c r="BJ913" s="69"/>
      <c r="BK913" s="69"/>
      <c r="BL913" s="69"/>
      <c r="BM913" s="69"/>
      <c r="BN913" s="69"/>
      <c r="BO913" s="69"/>
      <c r="BP913" s="69"/>
      <c r="BQ913" s="69"/>
      <c r="BR913" s="8"/>
    </row>
    <row r="914" ht="12.0" customHeight="1">
      <c r="A914" s="69"/>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c r="AN914" s="78"/>
      <c r="AO914" s="78"/>
      <c r="AP914" s="78"/>
      <c r="AQ914" s="78"/>
      <c r="AR914" s="69"/>
      <c r="AS914" s="69"/>
      <c r="AT914" s="69"/>
      <c r="AU914" s="69"/>
      <c r="AV914" s="69"/>
      <c r="AW914" s="69"/>
      <c r="AX914" s="69"/>
      <c r="AY914" s="69"/>
      <c r="AZ914" s="69"/>
      <c r="BA914" s="69"/>
      <c r="BB914" s="69"/>
      <c r="BC914" s="69"/>
      <c r="BD914" s="69"/>
      <c r="BE914" s="69"/>
      <c r="BF914" s="69"/>
      <c r="BG914" s="69"/>
      <c r="BH914" s="69"/>
      <c r="BI914" s="69"/>
      <c r="BJ914" s="69"/>
      <c r="BK914" s="69"/>
      <c r="BL914" s="69"/>
      <c r="BM914" s="69"/>
      <c r="BN914" s="69"/>
      <c r="BO914" s="69"/>
      <c r="BP914" s="69"/>
      <c r="BQ914" s="69"/>
      <c r="BR914" s="8"/>
    </row>
    <row r="915" ht="12.0" customHeight="1">
      <c r="A915" s="69"/>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8"/>
      <c r="AP915" s="78"/>
      <c r="AQ915" s="78"/>
      <c r="AR915" s="69"/>
      <c r="AS915" s="69"/>
      <c r="AT915" s="69"/>
      <c r="AU915" s="69"/>
      <c r="AV915" s="69"/>
      <c r="AW915" s="69"/>
      <c r="AX915" s="69"/>
      <c r="AY915" s="69"/>
      <c r="AZ915" s="69"/>
      <c r="BA915" s="69"/>
      <c r="BB915" s="69"/>
      <c r="BC915" s="69"/>
      <c r="BD915" s="69"/>
      <c r="BE915" s="69"/>
      <c r="BF915" s="69"/>
      <c r="BG915" s="69"/>
      <c r="BH915" s="69"/>
      <c r="BI915" s="69"/>
      <c r="BJ915" s="69"/>
      <c r="BK915" s="69"/>
      <c r="BL915" s="69"/>
      <c r="BM915" s="69"/>
      <c r="BN915" s="69"/>
      <c r="BO915" s="69"/>
      <c r="BP915" s="69"/>
      <c r="BQ915" s="69"/>
      <c r="BR915" s="8"/>
    </row>
    <row r="916" ht="12.0" customHeight="1">
      <c r="A916" s="69"/>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c r="AN916" s="78"/>
      <c r="AO916" s="78"/>
      <c r="AP916" s="78"/>
      <c r="AQ916" s="78"/>
      <c r="AR916" s="69"/>
      <c r="AS916" s="69"/>
      <c r="AT916" s="69"/>
      <c r="AU916" s="69"/>
      <c r="AV916" s="69"/>
      <c r="AW916" s="69"/>
      <c r="AX916" s="69"/>
      <c r="AY916" s="69"/>
      <c r="AZ916" s="69"/>
      <c r="BA916" s="69"/>
      <c r="BB916" s="69"/>
      <c r="BC916" s="69"/>
      <c r="BD916" s="69"/>
      <c r="BE916" s="69"/>
      <c r="BF916" s="69"/>
      <c r="BG916" s="69"/>
      <c r="BH916" s="69"/>
      <c r="BI916" s="69"/>
      <c r="BJ916" s="69"/>
      <c r="BK916" s="69"/>
      <c r="BL916" s="69"/>
      <c r="BM916" s="69"/>
      <c r="BN916" s="69"/>
      <c r="BO916" s="69"/>
      <c r="BP916" s="69"/>
      <c r="BQ916" s="69"/>
      <c r="BR916" s="8"/>
    </row>
    <row r="917" ht="12.0" customHeight="1">
      <c r="A917" s="69"/>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c r="AN917" s="78"/>
      <c r="AO917" s="78"/>
      <c r="AP917" s="78"/>
      <c r="AQ917" s="78"/>
      <c r="AR917" s="69"/>
      <c r="AS917" s="69"/>
      <c r="AT917" s="69"/>
      <c r="AU917" s="69"/>
      <c r="AV917" s="69"/>
      <c r="AW917" s="69"/>
      <c r="AX917" s="69"/>
      <c r="AY917" s="69"/>
      <c r="AZ917" s="69"/>
      <c r="BA917" s="69"/>
      <c r="BB917" s="69"/>
      <c r="BC917" s="69"/>
      <c r="BD917" s="69"/>
      <c r="BE917" s="69"/>
      <c r="BF917" s="69"/>
      <c r="BG917" s="69"/>
      <c r="BH917" s="69"/>
      <c r="BI917" s="69"/>
      <c r="BJ917" s="69"/>
      <c r="BK917" s="69"/>
      <c r="BL917" s="69"/>
      <c r="BM917" s="69"/>
      <c r="BN917" s="69"/>
      <c r="BO917" s="69"/>
      <c r="BP917" s="69"/>
      <c r="BQ917" s="69"/>
      <c r="BR917" s="8"/>
    </row>
    <row r="918" ht="12.0" customHeight="1">
      <c r="A918" s="69"/>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M918" s="78"/>
      <c r="AN918" s="78"/>
      <c r="AO918" s="78"/>
      <c r="AP918" s="78"/>
      <c r="AQ918" s="78"/>
      <c r="AR918" s="69"/>
      <c r="AS918" s="69"/>
      <c r="AT918" s="69"/>
      <c r="AU918" s="69"/>
      <c r="AV918" s="69"/>
      <c r="AW918" s="69"/>
      <c r="AX918" s="69"/>
      <c r="AY918" s="69"/>
      <c r="AZ918" s="69"/>
      <c r="BA918" s="69"/>
      <c r="BB918" s="69"/>
      <c r="BC918" s="69"/>
      <c r="BD918" s="69"/>
      <c r="BE918" s="69"/>
      <c r="BF918" s="69"/>
      <c r="BG918" s="69"/>
      <c r="BH918" s="69"/>
      <c r="BI918" s="69"/>
      <c r="BJ918" s="69"/>
      <c r="BK918" s="69"/>
      <c r="BL918" s="69"/>
      <c r="BM918" s="69"/>
      <c r="BN918" s="69"/>
      <c r="BO918" s="69"/>
      <c r="BP918" s="69"/>
      <c r="BQ918" s="69"/>
      <c r="BR918" s="8"/>
    </row>
    <row r="919" ht="12.0" customHeight="1">
      <c r="A919" s="69"/>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M919" s="78"/>
      <c r="AN919" s="78"/>
      <c r="AO919" s="78"/>
      <c r="AP919" s="78"/>
      <c r="AQ919" s="78"/>
      <c r="AR919" s="69"/>
      <c r="AS919" s="69"/>
      <c r="AT919" s="69"/>
      <c r="AU919" s="69"/>
      <c r="AV919" s="69"/>
      <c r="AW919" s="69"/>
      <c r="AX919" s="69"/>
      <c r="AY919" s="69"/>
      <c r="AZ919" s="69"/>
      <c r="BA919" s="69"/>
      <c r="BB919" s="69"/>
      <c r="BC919" s="69"/>
      <c r="BD919" s="69"/>
      <c r="BE919" s="69"/>
      <c r="BF919" s="69"/>
      <c r="BG919" s="69"/>
      <c r="BH919" s="69"/>
      <c r="BI919" s="69"/>
      <c r="BJ919" s="69"/>
      <c r="BK919" s="69"/>
      <c r="BL919" s="69"/>
      <c r="BM919" s="69"/>
      <c r="BN919" s="69"/>
      <c r="BO919" s="69"/>
      <c r="BP919" s="69"/>
      <c r="BQ919" s="69"/>
      <c r="BR919" s="8"/>
    </row>
    <row r="920" ht="12.0" customHeight="1">
      <c r="A920" s="69"/>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c r="AN920" s="78"/>
      <c r="AO920" s="78"/>
      <c r="AP920" s="78"/>
      <c r="AQ920" s="78"/>
      <c r="AR920" s="69"/>
      <c r="AS920" s="69"/>
      <c r="AT920" s="69"/>
      <c r="AU920" s="69"/>
      <c r="AV920" s="69"/>
      <c r="AW920" s="69"/>
      <c r="AX920" s="69"/>
      <c r="AY920" s="69"/>
      <c r="AZ920" s="69"/>
      <c r="BA920" s="69"/>
      <c r="BB920" s="69"/>
      <c r="BC920" s="69"/>
      <c r="BD920" s="69"/>
      <c r="BE920" s="69"/>
      <c r="BF920" s="69"/>
      <c r="BG920" s="69"/>
      <c r="BH920" s="69"/>
      <c r="BI920" s="69"/>
      <c r="BJ920" s="69"/>
      <c r="BK920" s="69"/>
      <c r="BL920" s="69"/>
      <c r="BM920" s="69"/>
      <c r="BN920" s="69"/>
      <c r="BO920" s="69"/>
      <c r="BP920" s="69"/>
      <c r="BQ920" s="69"/>
      <c r="BR920" s="8"/>
    </row>
    <row r="921" ht="12.0" customHeight="1">
      <c r="A921" s="69"/>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c r="AN921" s="78"/>
      <c r="AO921" s="78"/>
      <c r="AP921" s="78"/>
      <c r="AQ921" s="78"/>
      <c r="AR921" s="69"/>
      <c r="AS921" s="69"/>
      <c r="AT921" s="69"/>
      <c r="AU921" s="69"/>
      <c r="AV921" s="69"/>
      <c r="AW921" s="69"/>
      <c r="AX921" s="69"/>
      <c r="AY921" s="69"/>
      <c r="AZ921" s="69"/>
      <c r="BA921" s="69"/>
      <c r="BB921" s="69"/>
      <c r="BC921" s="69"/>
      <c r="BD921" s="69"/>
      <c r="BE921" s="69"/>
      <c r="BF921" s="69"/>
      <c r="BG921" s="69"/>
      <c r="BH921" s="69"/>
      <c r="BI921" s="69"/>
      <c r="BJ921" s="69"/>
      <c r="BK921" s="69"/>
      <c r="BL921" s="69"/>
      <c r="BM921" s="69"/>
      <c r="BN921" s="69"/>
      <c r="BO921" s="69"/>
      <c r="BP921" s="69"/>
      <c r="BQ921" s="69"/>
      <c r="BR921" s="8"/>
    </row>
    <row r="922" ht="12.0" customHeight="1">
      <c r="A922" s="69"/>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c r="AN922" s="78"/>
      <c r="AO922" s="78"/>
      <c r="AP922" s="78"/>
      <c r="AQ922" s="78"/>
      <c r="AR922" s="69"/>
      <c r="AS922" s="69"/>
      <c r="AT922" s="69"/>
      <c r="AU922" s="69"/>
      <c r="AV922" s="69"/>
      <c r="AW922" s="69"/>
      <c r="AX922" s="69"/>
      <c r="AY922" s="69"/>
      <c r="AZ922" s="69"/>
      <c r="BA922" s="69"/>
      <c r="BB922" s="69"/>
      <c r="BC922" s="69"/>
      <c r="BD922" s="69"/>
      <c r="BE922" s="69"/>
      <c r="BF922" s="69"/>
      <c r="BG922" s="69"/>
      <c r="BH922" s="69"/>
      <c r="BI922" s="69"/>
      <c r="BJ922" s="69"/>
      <c r="BK922" s="69"/>
      <c r="BL922" s="69"/>
      <c r="BM922" s="69"/>
      <c r="BN922" s="69"/>
      <c r="BO922" s="69"/>
      <c r="BP922" s="69"/>
      <c r="BQ922" s="69"/>
      <c r="BR922" s="8"/>
    </row>
    <row r="923" ht="12.0" customHeight="1">
      <c r="A923" s="69"/>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c r="AN923" s="78"/>
      <c r="AO923" s="78"/>
      <c r="AP923" s="78"/>
      <c r="AQ923" s="78"/>
      <c r="AR923" s="69"/>
      <c r="AS923" s="69"/>
      <c r="AT923" s="69"/>
      <c r="AU923" s="69"/>
      <c r="AV923" s="69"/>
      <c r="AW923" s="69"/>
      <c r="AX923" s="69"/>
      <c r="AY923" s="69"/>
      <c r="AZ923" s="69"/>
      <c r="BA923" s="69"/>
      <c r="BB923" s="69"/>
      <c r="BC923" s="69"/>
      <c r="BD923" s="69"/>
      <c r="BE923" s="69"/>
      <c r="BF923" s="69"/>
      <c r="BG923" s="69"/>
      <c r="BH923" s="69"/>
      <c r="BI923" s="69"/>
      <c r="BJ923" s="69"/>
      <c r="BK923" s="69"/>
      <c r="BL923" s="69"/>
      <c r="BM923" s="69"/>
      <c r="BN923" s="69"/>
      <c r="BO923" s="69"/>
      <c r="BP923" s="69"/>
      <c r="BQ923" s="69"/>
      <c r="BR923" s="8"/>
    </row>
    <row r="924" ht="12.0" customHeight="1">
      <c r="A924" s="69"/>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M924" s="78"/>
      <c r="AN924" s="78"/>
      <c r="AO924" s="78"/>
      <c r="AP924" s="78"/>
      <c r="AQ924" s="78"/>
      <c r="AR924" s="69"/>
      <c r="AS924" s="69"/>
      <c r="AT924" s="69"/>
      <c r="AU924" s="69"/>
      <c r="AV924" s="69"/>
      <c r="AW924" s="69"/>
      <c r="AX924" s="69"/>
      <c r="AY924" s="69"/>
      <c r="AZ924" s="69"/>
      <c r="BA924" s="69"/>
      <c r="BB924" s="69"/>
      <c r="BC924" s="69"/>
      <c r="BD924" s="69"/>
      <c r="BE924" s="69"/>
      <c r="BF924" s="69"/>
      <c r="BG924" s="69"/>
      <c r="BH924" s="69"/>
      <c r="BI924" s="69"/>
      <c r="BJ924" s="69"/>
      <c r="BK924" s="69"/>
      <c r="BL924" s="69"/>
      <c r="BM924" s="69"/>
      <c r="BN924" s="69"/>
      <c r="BO924" s="69"/>
      <c r="BP924" s="69"/>
      <c r="BQ924" s="69"/>
      <c r="BR924" s="8"/>
    </row>
    <row r="925" ht="12.0" customHeight="1">
      <c r="A925" s="69"/>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c r="AN925" s="78"/>
      <c r="AO925" s="78"/>
      <c r="AP925" s="78"/>
      <c r="AQ925" s="78"/>
      <c r="AR925" s="69"/>
      <c r="AS925" s="69"/>
      <c r="AT925" s="69"/>
      <c r="AU925" s="69"/>
      <c r="AV925" s="69"/>
      <c r="AW925" s="69"/>
      <c r="AX925" s="69"/>
      <c r="AY925" s="69"/>
      <c r="AZ925" s="69"/>
      <c r="BA925" s="69"/>
      <c r="BB925" s="69"/>
      <c r="BC925" s="69"/>
      <c r="BD925" s="69"/>
      <c r="BE925" s="69"/>
      <c r="BF925" s="69"/>
      <c r="BG925" s="69"/>
      <c r="BH925" s="69"/>
      <c r="BI925" s="69"/>
      <c r="BJ925" s="69"/>
      <c r="BK925" s="69"/>
      <c r="BL925" s="69"/>
      <c r="BM925" s="69"/>
      <c r="BN925" s="69"/>
      <c r="BO925" s="69"/>
      <c r="BP925" s="69"/>
      <c r="BQ925" s="69"/>
      <c r="BR925" s="8"/>
    </row>
    <row r="926" ht="12.0" customHeight="1">
      <c r="A926" s="69"/>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M926" s="78"/>
      <c r="AN926" s="78"/>
      <c r="AO926" s="78"/>
      <c r="AP926" s="78"/>
      <c r="AQ926" s="78"/>
      <c r="AR926" s="69"/>
      <c r="AS926" s="69"/>
      <c r="AT926" s="69"/>
      <c r="AU926" s="69"/>
      <c r="AV926" s="69"/>
      <c r="AW926" s="69"/>
      <c r="AX926" s="69"/>
      <c r="AY926" s="69"/>
      <c r="AZ926" s="69"/>
      <c r="BA926" s="69"/>
      <c r="BB926" s="69"/>
      <c r="BC926" s="69"/>
      <c r="BD926" s="69"/>
      <c r="BE926" s="69"/>
      <c r="BF926" s="69"/>
      <c r="BG926" s="69"/>
      <c r="BH926" s="69"/>
      <c r="BI926" s="69"/>
      <c r="BJ926" s="69"/>
      <c r="BK926" s="69"/>
      <c r="BL926" s="69"/>
      <c r="BM926" s="69"/>
      <c r="BN926" s="69"/>
      <c r="BO926" s="69"/>
      <c r="BP926" s="69"/>
      <c r="BQ926" s="69"/>
      <c r="BR926" s="8"/>
    </row>
    <row r="927" ht="12.0" customHeight="1">
      <c r="A927" s="69"/>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M927" s="78"/>
      <c r="AN927" s="78"/>
      <c r="AO927" s="78"/>
      <c r="AP927" s="78"/>
      <c r="AQ927" s="78"/>
      <c r="AR927" s="69"/>
      <c r="AS927" s="69"/>
      <c r="AT927" s="69"/>
      <c r="AU927" s="69"/>
      <c r="AV927" s="69"/>
      <c r="AW927" s="69"/>
      <c r="AX927" s="69"/>
      <c r="AY927" s="69"/>
      <c r="AZ927" s="69"/>
      <c r="BA927" s="69"/>
      <c r="BB927" s="69"/>
      <c r="BC927" s="69"/>
      <c r="BD927" s="69"/>
      <c r="BE927" s="69"/>
      <c r="BF927" s="69"/>
      <c r="BG927" s="69"/>
      <c r="BH927" s="69"/>
      <c r="BI927" s="69"/>
      <c r="BJ927" s="69"/>
      <c r="BK927" s="69"/>
      <c r="BL927" s="69"/>
      <c r="BM927" s="69"/>
      <c r="BN927" s="69"/>
      <c r="BO927" s="69"/>
      <c r="BP927" s="69"/>
      <c r="BQ927" s="69"/>
      <c r="BR927" s="8"/>
    </row>
    <row r="928" ht="12.0" customHeight="1">
      <c r="A928" s="69"/>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M928" s="78"/>
      <c r="AN928" s="78"/>
      <c r="AO928" s="78"/>
      <c r="AP928" s="78"/>
      <c r="AQ928" s="78"/>
      <c r="AR928" s="69"/>
      <c r="AS928" s="69"/>
      <c r="AT928" s="69"/>
      <c r="AU928" s="69"/>
      <c r="AV928" s="69"/>
      <c r="AW928" s="69"/>
      <c r="AX928" s="69"/>
      <c r="AY928" s="69"/>
      <c r="AZ928" s="69"/>
      <c r="BA928" s="69"/>
      <c r="BB928" s="69"/>
      <c r="BC928" s="69"/>
      <c r="BD928" s="69"/>
      <c r="BE928" s="69"/>
      <c r="BF928" s="69"/>
      <c r="BG928" s="69"/>
      <c r="BH928" s="69"/>
      <c r="BI928" s="69"/>
      <c r="BJ928" s="69"/>
      <c r="BK928" s="69"/>
      <c r="BL928" s="69"/>
      <c r="BM928" s="69"/>
      <c r="BN928" s="69"/>
      <c r="BO928" s="69"/>
      <c r="BP928" s="69"/>
      <c r="BQ928" s="69"/>
      <c r="BR928" s="8"/>
    </row>
    <row r="929" ht="12.0" customHeight="1">
      <c r="A929" s="69"/>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c r="AN929" s="78"/>
      <c r="AO929" s="78"/>
      <c r="AP929" s="78"/>
      <c r="AQ929" s="78"/>
      <c r="AR929" s="69"/>
      <c r="AS929" s="69"/>
      <c r="AT929" s="69"/>
      <c r="AU929" s="69"/>
      <c r="AV929" s="69"/>
      <c r="AW929" s="69"/>
      <c r="AX929" s="69"/>
      <c r="AY929" s="69"/>
      <c r="AZ929" s="69"/>
      <c r="BA929" s="69"/>
      <c r="BB929" s="69"/>
      <c r="BC929" s="69"/>
      <c r="BD929" s="69"/>
      <c r="BE929" s="69"/>
      <c r="BF929" s="69"/>
      <c r="BG929" s="69"/>
      <c r="BH929" s="69"/>
      <c r="BI929" s="69"/>
      <c r="BJ929" s="69"/>
      <c r="BK929" s="69"/>
      <c r="BL929" s="69"/>
      <c r="BM929" s="69"/>
      <c r="BN929" s="69"/>
      <c r="BO929" s="69"/>
      <c r="BP929" s="69"/>
      <c r="BQ929" s="69"/>
      <c r="BR929" s="8"/>
    </row>
    <row r="930" ht="12.0" customHeight="1">
      <c r="A930" s="69"/>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M930" s="78"/>
      <c r="AN930" s="78"/>
      <c r="AO930" s="78"/>
      <c r="AP930" s="78"/>
      <c r="AQ930" s="78"/>
      <c r="AR930" s="69"/>
      <c r="AS930" s="69"/>
      <c r="AT930" s="69"/>
      <c r="AU930" s="69"/>
      <c r="AV930" s="69"/>
      <c r="AW930" s="69"/>
      <c r="AX930" s="69"/>
      <c r="AY930" s="69"/>
      <c r="AZ930" s="69"/>
      <c r="BA930" s="69"/>
      <c r="BB930" s="69"/>
      <c r="BC930" s="69"/>
      <c r="BD930" s="69"/>
      <c r="BE930" s="69"/>
      <c r="BF930" s="69"/>
      <c r="BG930" s="69"/>
      <c r="BH930" s="69"/>
      <c r="BI930" s="69"/>
      <c r="BJ930" s="69"/>
      <c r="BK930" s="69"/>
      <c r="BL930" s="69"/>
      <c r="BM930" s="69"/>
      <c r="BN930" s="69"/>
      <c r="BO930" s="69"/>
      <c r="BP930" s="69"/>
      <c r="BQ930" s="69"/>
      <c r="BR930" s="8"/>
    </row>
    <row r="931" ht="12.0" customHeight="1">
      <c r="A931" s="69"/>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M931" s="78"/>
      <c r="AN931" s="78"/>
      <c r="AO931" s="78"/>
      <c r="AP931" s="78"/>
      <c r="AQ931" s="78"/>
      <c r="AR931" s="69"/>
      <c r="AS931" s="69"/>
      <c r="AT931" s="69"/>
      <c r="AU931" s="69"/>
      <c r="AV931" s="69"/>
      <c r="AW931" s="69"/>
      <c r="AX931" s="69"/>
      <c r="AY931" s="69"/>
      <c r="AZ931" s="69"/>
      <c r="BA931" s="69"/>
      <c r="BB931" s="69"/>
      <c r="BC931" s="69"/>
      <c r="BD931" s="69"/>
      <c r="BE931" s="69"/>
      <c r="BF931" s="69"/>
      <c r="BG931" s="69"/>
      <c r="BH931" s="69"/>
      <c r="BI931" s="69"/>
      <c r="BJ931" s="69"/>
      <c r="BK931" s="69"/>
      <c r="BL931" s="69"/>
      <c r="BM931" s="69"/>
      <c r="BN931" s="69"/>
      <c r="BO931" s="69"/>
      <c r="BP931" s="69"/>
      <c r="BQ931" s="69"/>
      <c r="BR931" s="8"/>
    </row>
    <row r="932" ht="12.0" customHeight="1">
      <c r="A932" s="69"/>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c r="AN932" s="78"/>
      <c r="AO932" s="78"/>
      <c r="AP932" s="78"/>
      <c r="AQ932" s="78"/>
      <c r="AR932" s="69"/>
      <c r="AS932" s="69"/>
      <c r="AT932" s="69"/>
      <c r="AU932" s="69"/>
      <c r="AV932" s="69"/>
      <c r="AW932" s="69"/>
      <c r="AX932" s="69"/>
      <c r="AY932" s="69"/>
      <c r="AZ932" s="69"/>
      <c r="BA932" s="69"/>
      <c r="BB932" s="69"/>
      <c r="BC932" s="69"/>
      <c r="BD932" s="69"/>
      <c r="BE932" s="69"/>
      <c r="BF932" s="69"/>
      <c r="BG932" s="69"/>
      <c r="BH932" s="69"/>
      <c r="BI932" s="69"/>
      <c r="BJ932" s="69"/>
      <c r="BK932" s="69"/>
      <c r="BL932" s="69"/>
      <c r="BM932" s="69"/>
      <c r="BN932" s="69"/>
      <c r="BO932" s="69"/>
      <c r="BP932" s="69"/>
      <c r="BQ932" s="69"/>
      <c r="BR932" s="8"/>
    </row>
    <row r="933" ht="12.0" customHeight="1">
      <c r="A933" s="69"/>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M933" s="78"/>
      <c r="AN933" s="78"/>
      <c r="AO933" s="78"/>
      <c r="AP933" s="78"/>
      <c r="AQ933" s="78"/>
      <c r="AR933" s="69"/>
      <c r="AS933" s="69"/>
      <c r="AT933" s="69"/>
      <c r="AU933" s="69"/>
      <c r="AV933" s="69"/>
      <c r="AW933" s="69"/>
      <c r="AX933" s="69"/>
      <c r="AY933" s="69"/>
      <c r="AZ933" s="69"/>
      <c r="BA933" s="69"/>
      <c r="BB933" s="69"/>
      <c r="BC933" s="69"/>
      <c r="BD933" s="69"/>
      <c r="BE933" s="69"/>
      <c r="BF933" s="69"/>
      <c r="BG933" s="69"/>
      <c r="BH933" s="69"/>
      <c r="BI933" s="69"/>
      <c r="BJ933" s="69"/>
      <c r="BK933" s="69"/>
      <c r="BL933" s="69"/>
      <c r="BM933" s="69"/>
      <c r="BN933" s="69"/>
      <c r="BO933" s="69"/>
      <c r="BP933" s="69"/>
      <c r="BQ933" s="69"/>
      <c r="BR933" s="8"/>
    </row>
    <row r="934" ht="12.0" customHeight="1">
      <c r="A934" s="69"/>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M934" s="78"/>
      <c r="AN934" s="78"/>
      <c r="AO934" s="78"/>
      <c r="AP934" s="78"/>
      <c r="AQ934" s="78"/>
      <c r="AR934" s="69"/>
      <c r="AS934" s="69"/>
      <c r="AT934" s="69"/>
      <c r="AU934" s="69"/>
      <c r="AV934" s="69"/>
      <c r="AW934" s="69"/>
      <c r="AX934" s="69"/>
      <c r="AY934" s="69"/>
      <c r="AZ934" s="69"/>
      <c r="BA934" s="69"/>
      <c r="BB934" s="69"/>
      <c r="BC934" s="69"/>
      <c r="BD934" s="69"/>
      <c r="BE934" s="69"/>
      <c r="BF934" s="69"/>
      <c r="BG934" s="69"/>
      <c r="BH934" s="69"/>
      <c r="BI934" s="69"/>
      <c r="BJ934" s="69"/>
      <c r="BK934" s="69"/>
      <c r="BL934" s="69"/>
      <c r="BM934" s="69"/>
      <c r="BN934" s="69"/>
      <c r="BO934" s="69"/>
      <c r="BP934" s="69"/>
      <c r="BQ934" s="69"/>
      <c r="BR934" s="8"/>
    </row>
    <row r="935" ht="12.0" customHeight="1">
      <c r="A935" s="69"/>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c r="AN935" s="78"/>
      <c r="AO935" s="78"/>
      <c r="AP935" s="78"/>
      <c r="AQ935" s="78"/>
      <c r="AR935" s="69"/>
      <c r="AS935" s="69"/>
      <c r="AT935" s="69"/>
      <c r="AU935" s="69"/>
      <c r="AV935" s="69"/>
      <c r="AW935" s="69"/>
      <c r="AX935" s="69"/>
      <c r="AY935" s="69"/>
      <c r="AZ935" s="69"/>
      <c r="BA935" s="69"/>
      <c r="BB935" s="69"/>
      <c r="BC935" s="69"/>
      <c r="BD935" s="69"/>
      <c r="BE935" s="69"/>
      <c r="BF935" s="69"/>
      <c r="BG935" s="69"/>
      <c r="BH935" s="69"/>
      <c r="BI935" s="69"/>
      <c r="BJ935" s="69"/>
      <c r="BK935" s="69"/>
      <c r="BL935" s="69"/>
      <c r="BM935" s="69"/>
      <c r="BN935" s="69"/>
      <c r="BO935" s="69"/>
      <c r="BP935" s="69"/>
      <c r="BQ935" s="69"/>
      <c r="BR935" s="8"/>
    </row>
    <row r="936" ht="12.0" customHeight="1">
      <c r="A936" s="69"/>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c r="AN936" s="78"/>
      <c r="AO936" s="78"/>
      <c r="AP936" s="78"/>
      <c r="AQ936" s="78"/>
      <c r="AR936" s="69"/>
      <c r="AS936" s="69"/>
      <c r="AT936" s="69"/>
      <c r="AU936" s="69"/>
      <c r="AV936" s="69"/>
      <c r="AW936" s="69"/>
      <c r="AX936" s="69"/>
      <c r="AY936" s="69"/>
      <c r="AZ936" s="69"/>
      <c r="BA936" s="69"/>
      <c r="BB936" s="69"/>
      <c r="BC936" s="69"/>
      <c r="BD936" s="69"/>
      <c r="BE936" s="69"/>
      <c r="BF936" s="69"/>
      <c r="BG936" s="69"/>
      <c r="BH936" s="69"/>
      <c r="BI936" s="69"/>
      <c r="BJ936" s="69"/>
      <c r="BK936" s="69"/>
      <c r="BL936" s="69"/>
      <c r="BM936" s="69"/>
      <c r="BN936" s="69"/>
      <c r="BO936" s="69"/>
      <c r="BP936" s="69"/>
      <c r="BQ936" s="69"/>
      <c r="BR936" s="8"/>
    </row>
    <row r="937" ht="12.0" customHeight="1">
      <c r="A937" s="69"/>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M937" s="78"/>
      <c r="AN937" s="78"/>
      <c r="AO937" s="78"/>
      <c r="AP937" s="78"/>
      <c r="AQ937" s="78"/>
      <c r="AR937" s="69"/>
      <c r="AS937" s="69"/>
      <c r="AT937" s="69"/>
      <c r="AU937" s="69"/>
      <c r="AV937" s="69"/>
      <c r="AW937" s="69"/>
      <c r="AX937" s="69"/>
      <c r="AY937" s="69"/>
      <c r="AZ937" s="69"/>
      <c r="BA937" s="69"/>
      <c r="BB937" s="69"/>
      <c r="BC937" s="69"/>
      <c r="BD937" s="69"/>
      <c r="BE937" s="69"/>
      <c r="BF937" s="69"/>
      <c r="BG937" s="69"/>
      <c r="BH937" s="69"/>
      <c r="BI937" s="69"/>
      <c r="BJ937" s="69"/>
      <c r="BK937" s="69"/>
      <c r="BL937" s="69"/>
      <c r="BM937" s="69"/>
      <c r="BN937" s="69"/>
      <c r="BO937" s="69"/>
      <c r="BP937" s="69"/>
      <c r="BQ937" s="69"/>
      <c r="BR937" s="8"/>
    </row>
    <row r="938" ht="12.0" customHeight="1">
      <c r="A938" s="69"/>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M938" s="78"/>
      <c r="AN938" s="78"/>
      <c r="AO938" s="78"/>
      <c r="AP938" s="78"/>
      <c r="AQ938" s="78"/>
      <c r="AR938" s="69"/>
      <c r="AS938" s="69"/>
      <c r="AT938" s="69"/>
      <c r="AU938" s="69"/>
      <c r="AV938" s="69"/>
      <c r="AW938" s="69"/>
      <c r="AX938" s="69"/>
      <c r="AY938" s="69"/>
      <c r="AZ938" s="69"/>
      <c r="BA938" s="69"/>
      <c r="BB938" s="69"/>
      <c r="BC938" s="69"/>
      <c r="BD938" s="69"/>
      <c r="BE938" s="69"/>
      <c r="BF938" s="69"/>
      <c r="BG938" s="69"/>
      <c r="BH938" s="69"/>
      <c r="BI938" s="69"/>
      <c r="BJ938" s="69"/>
      <c r="BK938" s="69"/>
      <c r="BL938" s="69"/>
      <c r="BM938" s="69"/>
      <c r="BN938" s="69"/>
      <c r="BO938" s="69"/>
      <c r="BP938" s="69"/>
      <c r="BQ938" s="69"/>
      <c r="BR938" s="8"/>
    </row>
    <row r="939" ht="12.0" customHeight="1">
      <c r="A939" s="69"/>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c r="AN939" s="78"/>
      <c r="AO939" s="78"/>
      <c r="AP939" s="78"/>
      <c r="AQ939" s="78"/>
      <c r="AR939" s="69"/>
      <c r="AS939" s="69"/>
      <c r="AT939" s="69"/>
      <c r="AU939" s="69"/>
      <c r="AV939" s="69"/>
      <c r="AW939" s="69"/>
      <c r="AX939" s="69"/>
      <c r="AY939" s="69"/>
      <c r="AZ939" s="69"/>
      <c r="BA939" s="69"/>
      <c r="BB939" s="69"/>
      <c r="BC939" s="69"/>
      <c r="BD939" s="69"/>
      <c r="BE939" s="69"/>
      <c r="BF939" s="69"/>
      <c r="BG939" s="69"/>
      <c r="BH939" s="69"/>
      <c r="BI939" s="69"/>
      <c r="BJ939" s="69"/>
      <c r="BK939" s="69"/>
      <c r="BL939" s="69"/>
      <c r="BM939" s="69"/>
      <c r="BN939" s="69"/>
      <c r="BO939" s="69"/>
      <c r="BP939" s="69"/>
      <c r="BQ939" s="69"/>
      <c r="BR939" s="8"/>
    </row>
    <row r="940" ht="12.0" customHeight="1">
      <c r="A940" s="69"/>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c r="AN940" s="78"/>
      <c r="AO940" s="78"/>
      <c r="AP940" s="78"/>
      <c r="AQ940" s="78"/>
      <c r="AR940" s="69"/>
      <c r="AS940" s="69"/>
      <c r="AT940" s="69"/>
      <c r="AU940" s="69"/>
      <c r="AV940" s="69"/>
      <c r="AW940" s="69"/>
      <c r="AX940" s="69"/>
      <c r="AY940" s="69"/>
      <c r="AZ940" s="69"/>
      <c r="BA940" s="69"/>
      <c r="BB940" s="69"/>
      <c r="BC940" s="69"/>
      <c r="BD940" s="69"/>
      <c r="BE940" s="69"/>
      <c r="BF940" s="69"/>
      <c r="BG940" s="69"/>
      <c r="BH940" s="69"/>
      <c r="BI940" s="69"/>
      <c r="BJ940" s="69"/>
      <c r="BK940" s="69"/>
      <c r="BL940" s="69"/>
      <c r="BM940" s="69"/>
      <c r="BN940" s="69"/>
      <c r="BO940" s="69"/>
      <c r="BP940" s="69"/>
      <c r="BQ940" s="69"/>
      <c r="BR940" s="8"/>
    </row>
    <row r="941" ht="12.0" customHeight="1">
      <c r="A941" s="69"/>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c r="AN941" s="78"/>
      <c r="AO941" s="78"/>
      <c r="AP941" s="78"/>
      <c r="AQ941" s="78"/>
      <c r="AR941" s="69"/>
      <c r="AS941" s="69"/>
      <c r="AT941" s="69"/>
      <c r="AU941" s="69"/>
      <c r="AV941" s="69"/>
      <c r="AW941" s="69"/>
      <c r="AX941" s="69"/>
      <c r="AY941" s="69"/>
      <c r="AZ941" s="69"/>
      <c r="BA941" s="69"/>
      <c r="BB941" s="69"/>
      <c r="BC941" s="69"/>
      <c r="BD941" s="69"/>
      <c r="BE941" s="69"/>
      <c r="BF941" s="69"/>
      <c r="BG941" s="69"/>
      <c r="BH941" s="69"/>
      <c r="BI941" s="69"/>
      <c r="BJ941" s="69"/>
      <c r="BK941" s="69"/>
      <c r="BL941" s="69"/>
      <c r="BM941" s="69"/>
      <c r="BN941" s="69"/>
      <c r="BO941" s="69"/>
      <c r="BP941" s="69"/>
      <c r="BQ941" s="69"/>
      <c r="BR941" s="8"/>
    </row>
    <row r="942" ht="12.0" customHeight="1">
      <c r="A942" s="69"/>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M942" s="78"/>
      <c r="AN942" s="78"/>
      <c r="AO942" s="78"/>
      <c r="AP942" s="78"/>
      <c r="AQ942" s="78"/>
      <c r="AR942" s="69"/>
      <c r="AS942" s="69"/>
      <c r="AT942" s="69"/>
      <c r="AU942" s="69"/>
      <c r="AV942" s="69"/>
      <c r="AW942" s="69"/>
      <c r="AX942" s="69"/>
      <c r="AY942" s="69"/>
      <c r="AZ942" s="69"/>
      <c r="BA942" s="69"/>
      <c r="BB942" s="69"/>
      <c r="BC942" s="69"/>
      <c r="BD942" s="69"/>
      <c r="BE942" s="69"/>
      <c r="BF942" s="69"/>
      <c r="BG942" s="69"/>
      <c r="BH942" s="69"/>
      <c r="BI942" s="69"/>
      <c r="BJ942" s="69"/>
      <c r="BK942" s="69"/>
      <c r="BL942" s="69"/>
      <c r="BM942" s="69"/>
      <c r="BN942" s="69"/>
      <c r="BO942" s="69"/>
      <c r="BP942" s="69"/>
      <c r="BQ942" s="69"/>
      <c r="BR942" s="8"/>
    </row>
    <row r="943" ht="12.0" customHeight="1">
      <c r="A943" s="69"/>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c r="AN943" s="78"/>
      <c r="AO943" s="78"/>
      <c r="AP943" s="78"/>
      <c r="AQ943" s="78"/>
      <c r="AR943" s="69"/>
      <c r="AS943" s="69"/>
      <c r="AT943" s="69"/>
      <c r="AU943" s="69"/>
      <c r="AV943" s="69"/>
      <c r="AW943" s="69"/>
      <c r="AX943" s="69"/>
      <c r="AY943" s="69"/>
      <c r="AZ943" s="69"/>
      <c r="BA943" s="69"/>
      <c r="BB943" s="69"/>
      <c r="BC943" s="69"/>
      <c r="BD943" s="69"/>
      <c r="BE943" s="69"/>
      <c r="BF943" s="69"/>
      <c r="BG943" s="69"/>
      <c r="BH943" s="69"/>
      <c r="BI943" s="69"/>
      <c r="BJ943" s="69"/>
      <c r="BK943" s="69"/>
      <c r="BL943" s="69"/>
      <c r="BM943" s="69"/>
      <c r="BN943" s="69"/>
      <c r="BO943" s="69"/>
      <c r="BP943" s="69"/>
      <c r="BQ943" s="69"/>
      <c r="BR943" s="8"/>
    </row>
    <row r="944" ht="12.0" customHeight="1">
      <c r="A944" s="69"/>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c r="AN944" s="78"/>
      <c r="AO944" s="78"/>
      <c r="AP944" s="78"/>
      <c r="AQ944" s="78"/>
      <c r="AR944" s="69"/>
      <c r="AS944" s="69"/>
      <c r="AT944" s="69"/>
      <c r="AU944" s="69"/>
      <c r="AV944" s="69"/>
      <c r="AW944" s="69"/>
      <c r="AX944" s="69"/>
      <c r="AY944" s="69"/>
      <c r="AZ944" s="69"/>
      <c r="BA944" s="69"/>
      <c r="BB944" s="69"/>
      <c r="BC944" s="69"/>
      <c r="BD944" s="69"/>
      <c r="BE944" s="69"/>
      <c r="BF944" s="69"/>
      <c r="BG944" s="69"/>
      <c r="BH944" s="69"/>
      <c r="BI944" s="69"/>
      <c r="BJ944" s="69"/>
      <c r="BK944" s="69"/>
      <c r="BL944" s="69"/>
      <c r="BM944" s="69"/>
      <c r="BN944" s="69"/>
      <c r="BO944" s="69"/>
      <c r="BP944" s="69"/>
      <c r="BQ944" s="69"/>
      <c r="BR944" s="8"/>
    </row>
    <row r="945" ht="12.0" customHeight="1">
      <c r="A945" s="69"/>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c r="AN945" s="78"/>
      <c r="AO945" s="78"/>
      <c r="AP945" s="78"/>
      <c r="AQ945" s="78"/>
      <c r="AR945" s="69"/>
      <c r="AS945" s="69"/>
      <c r="AT945" s="69"/>
      <c r="AU945" s="69"/>
      <c r="AV945" s="69"/>
      <c r="AW945" s="69"/>
      <c r="AX945" s="69"/>
      <c r="AY945" s="69"/>
      <c r="AZ945" s="69"/>
      <c r="BA945" s="69"/>
      <c r="BB945" s="69"/>
      <c r="BC945" s="69"/>
      <c r="BD945" s="69"/>
      <c r="BE945" s="69"/>
      <c r="BF945" s="69"/>
      <c r="BG945" s="69"/>
      <c r="BH945" s="69"/>
      <c r="BI945" s="69"/>
      <c r="BJ945" s="69"/>
      <c r="BK945" s="69"/>
      <c r="BL945" s="69"/>
      <c r="BM945" s="69"/>
      <c r="BN945" s="69"/>
      <c r="BO945" s="69"/>
      <c r="BP945" s="69"/>
      <c r="BQ945" s="69"/>
      <c r="BR945" s="8"/>
    </row>
    <row r="946" ht="12.0" customHeight="1">
      <c r="A946" s="69"/>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c r="AN946" s="78"/>
      <c r="AO946" s="78"/>
      <c r="AP946" s="78"/>
      <c r="AQ946" s="78"/>
      <c r="AR946" s="69"/>
      <c r="AS946" s="69"/>
      <c r="AT946" s="69"/>
      <c r="AU946" s="69"/>
      <c r="AV946" s="69"/>
      <c r="AW946" s="69"/>
      <c r="AX946" s="69"/>
      <c r="AY946" s="69"/>
      <c r="AZ946" s="69"/>
      <c r="BA946" s="69"/>
      <c r="BB946" s="69"/>
      <c r="BC946" s="69"/>
      <c r="BD946" s="69"/>
      <c r="BE946" s="69"/>
      <c r="BF946" s="69"/>
      <c r="BG946" s="69"/>
      <c r="BH946" s="69"/>
      <c r="BI946" s="69"/>
      <c r="BJ946" s="69"/>
      <c r="BK946" s="69"/>
      <c r="BL946" s="69"/>
      <c r="BM946" s="69"/>
      <c r="BN946" s="69"/>
      <c r="BO946" s="69"/>
      <c r="BP946" s="69"/>
      <c r="BQ946" s="69"/>
      <c r="BR946" s="8"/>
    </row>
    <row r="947" ht="12.0" customHeight="1">
      <c r="A947" s="69"/>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c r="AN947" s="78"/>
      <c r="AO947" s="78"/>
      <c r="AP947" s="78"/>
      <c r="AQ947" s="78"/>
      <c r="AR947" s="69"/>
      <c r="AS947" s="69"/>
      <c r="AT947" s="69"/>
      <c r="AU947" s="69"/>
      <c r="AV947" s="69"/>
      <c r="AW947" s="69"/>
      <c r="AX947" s="69"/>
      <c r="AY947" s="69"/>
      <c r="AZ947" s="69"/>
      <c r="BA947" s="69"/>
      <c r="BB947" s="69"/>
      <c r="BC947" s="69"/>
      <c r="BD947" s="69"/>
      <c r="BE947" s="69"/>
      <c r="BF947" s="69"/>
      <c r="BG947" s="69"/>
      <c r="BH947" s="69"/>
      <c r="BI947" s="69"/>
      <c r="BJ947" s="69"/>
      <c r="BK947" s="69"/>
      <c r="BL947" s="69"/>
      <c r="BM947" s="69"/>
      <c r="BN947" s="69"/>
      <c r="BO947" s="69"/>
      <c r="BP947" s="69"/>
      <c r="BQ947" s="69"/>
      <c r="BR947" s="8"/>
    </row>
    <row r="948" ht="12.0" customHeight="1">
      <c r="A948" s="69"/>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M948" s="78"/>
      <c r="AN948" s="78"/>
      <c r="AO948" s="78"/>
      <c r="AP948" s="78"/>
      <c r="AQ948" s="78"/>
      <c r="AR948" s="69"/>
      <c r="AS948" s="69"/>
      <c r="AT948" s="69"/>
      <c r="AU948" s="69"/>
      <c r="AV948" s="69"/>
      <c r="AW948" s="69"/>
      <c r="AX948" s="69"/>
      <c r="AY948" s="69"/>
      <c r="AZ948" s="69"/>
      <c r="BA948" s="69"/>
      <c r="BB948" s="69"/>
      <c r="BC948" s="69"/>
      <c r="BD948" s="69"/>
      <c r="BE948" s="69"/>
      <c r="BF948" s="69"/>
      <c r="BG948" s="69"/>
      <c r="BH948" s="69"/>
      <c r="BI948" s="69"/>
      <c r="BJ948" s="69"/>
      <c r="BK948" s="69"/>
      <c r="BL948" s="69"/>
      <c r="BM948" s="69"/>
      <c r="BN948" s="69"/>
      <c r="BO948" s="69"/>
      <c r="BP948" s="69"/>
      <c r="BQ948" s="69"/>
      <c r="BR948" s="8"/>
    </row>
    <row r="949" ht="12.0" customHeight="1">
      <c r="A949" s="69"/>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M949" s="78"/>
      <c r="AN949" s="78"/>
      <c r="AO949" s="78"/>
      <c r="AP949" s="78"/>
      <c r="AQ949" s="78"/>
      <c r="AR949" s="69"/>
      <c r="AS949" s="69"/>
      <c r="AT949" s="69"/>
      <c r="AU949" s="69"/>
      <c r="AV949" s="69"/>
      <c r="AW949" s="69"/>
      <c r="AX949" s="69"/>
      <c r="AY949" s="69"/>
      <c r="AZ949" s="69"/>
      <c r="BA949" s="69"/>
      <c r="BB949" s="69"/>
      <c r="BC949" s="69"/>
      <c r="BD949" s="69"/>
      <c r="BE949" s="69"/>
      <c r="BF949" s="69"/>
      <c r="BG949" s="69"/>
      <c r="BH949" s="69"/>
      <c r="BI949" s="69"/>
      <c r="BJ949" s="69"/>
      <c r="BK949" s="69"/>
      <c r="BL949" s="69"/>
      <c r="BM949" s="69"/>
      <c r="BN949" s="69"/>
      <c r="BO949" s="69"/>
      <c r="BP949" s="69"/>
      <c r="BQ949" s="69"/>
      <c r="BR949" s="8"/>
    </row>
    <row r="950" ht="12.0" customHeight="1">
      <c r="A950" s="69"/>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M950" s="78"/>
      <c r="AN950" s="78"/>
      <c r="AO950" s="78"/>
      <c r="AP950" s="78"/>
      <c r="AQ950" s="78"/>
      <c r="AR950" s="69"/>
      <c r="AS950" s="69"/>
      <c r="AT950" s="69"/>
      <c r="AU950" s="69"/>
      <c r="AV950" s="69"/>
      <c r="AW950" s="69"/>
      <c r="AX950" s="69"/>
      <c r="AY950" s="69"/>
      <c r="AZ950" s="69"/>
      <c r="BA950" s="69"/>
      <c r="BB950" s="69"/>
      <c r="BC950" s="69"/>
      <c r="BD950" s="69"/>
      <c r="BE950" s="69"/>
      <c r="BF950" s="69"/>
      <c r="BG950" s="69"/>
      <c r="BH950" s="69"/>
      <c r="BI950" s="69"/>
      <c r="BJ950" s="69"/>
      <c r="BK950" s="69"/>
      <c r="BL950" s="69"/>
      <c r="BM950" s="69"/>
      <c r="BN950" s="69"/>
      <c r="BO950" s="69"/>
      <c r="BP950" s="69"/>
      <c r="BQ950" s="69"/>
      <c r="BR950" s="8"/>
    </row>
    <row r="951" ht="12.0" customHeight="1">
      <c r="A951" s="69"/>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M951" s="78"/>
      <c r="AN951" s="78"/>
      <c r="AO951" s="78"/>
      <c r="AP951" s="78"/>
      <c r="AQ951" s="78"/>
      <c r="AR951" s="69"/>
      <c r="AS951" s="69"/>
      <c r="AT951" s="69"/>
      <c r="AU951" s="69"/>
      <c r="AV951" s="69"/>
      <c r="AW951" s="69"/>
      <c r="AX951" s="69"/>
      <c r="AY951" s="69"/>
      <c r="AZ951" s="69"/>
      <c r="BA951" s="69"/>
      <c r="BB951" s="69"/>
      <c r="BC951" s="69"/>
      <c r="BD951" s="69"/>
      <c r="BE951" s="69"/>
      <c r="BF951" s="69"/>
      <c r="BG951" s="69"/>
      <c r="BH951" s="69"/>
      <c r="BI951" s="69"/>
      <c r="BJ951" s="69"/>
      <c r="BK951" s="69"/>
      <c r="BL951" s="69"/>
      <c r="BM951" s="69"/>
      <c r="BN951" s="69"/>
      <c r="BO951" s="69"/>
      <c r="BP951" s="69"/>
      <c r="BQ951" s="69"/>
      <c r="BR951" s="8"/>
    </row>
    <row r="952" ht="12.0" customHeight="1">
      <c r="A952" s="69"/>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c r="AN952" s="78"/>
      <c r="AO952" s="78"/>
      <c r="AP952" s="78"/>
      <c r="AQ952" s="78"/>
      <c r="AR952" s="69"/>
      <c r="AS952" s="69"/>
      <c r="AT952" s="69"/>
      <c r="AU952" s="69"/>
      <c r="AV952" s="69"/>
      <c r="AW952" s="69"/>
      <c r="AX952" s="69"/>
      <c r="AY952" s="69"/>
      <c r="AZ952" s="69"/>
      <c r="BA952" s="69"/>
      <c r="BB952" s="69"/>
      <c r="BC952" s="69"/>
      <c r="BD952" s="69"/>
      <c r="BE952" s="69"/>
      <c r="BF952" s="69"/>
      <c r="BG952" s="69"/>
      <c r="BH952" s="69"/>
      <c r="BI952" s="69"/>
      <c r="BJ952" s="69"/>
      <c r="BK952" s="69"/>
      <c r="BL952" s="69"/>
      <c r="BM952" s="69"/>
      <c r="BN952" s="69"/>
      <c r="BO952" s="69"/>
      <c r="BP952" s="69"/>
      <c r="BQ952" s="69"/>
      <c r="BR952" s="8"/>
    </row>
    <row r="953" ht="12.0" customHeight="1">
      <c r="A953" s="69"/>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c r="AN953" s="78"/>
      <c r="AO953" s="78"/>
      <c r="AP953" s="78"/>
      <c r="AQ953" s="78"/>
      <c r="AR953" s="69"/>
      <c r="AS953" s="69"/>
      <c r="AT953" s="69"/>
      <c r="AU953" s="69"/>
      <c r="AV953" s="69"/>
      <c r="AW953" s="69"/>
      <c r="AX953" s="69"/>
      <c r="AY953" s="69"/>
      <c r="AZ953" s="69"/>
      <c r="BA953" s="69"/>
      <c r="BB953" s="69"/>
      <c r="BC953" s="69"/>
      <c r="BD953" s="69"/>
      <c r="BE953" s="69"/>
      <c r="BF953" s="69"/>
      <c r="BG953" s="69"/>
      <c r="BH953" s="69"/>
      <c r="BI953" s="69"/>
      <c r="BJ953" s="69"/>
      <c r="BK953" s="69"/>
      <c r="BL953" s="69"/>
      <c r="BM953" s="69"/>
      <c r="BN953" s="69"/>
      <c r="BO953" s="69"/>
      <c r="BP953" s="69"/>
      <c r="BQ953" s="69"/>
      <c r="BR953" s="8"/>
    </row>
    <row r="954" ht="12.0" customHeight="1">
      <c r="A954" s="69"/>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c r="AN954" s="78"/>
      <c r="AO954" s="78"/>
      <c r="AP954" s="78"/>
      <c r="AQ954" s="78"/>
      <c r="AR954" s="69"/>
      <c r="AS954" s="69"/>
      <c r="AT954" s="69"/>
      <c r="AU954" s="69"/>
      <c r="AV954" s="69"/>
      <c r="AW954" s="69"/>
      <c r="AX954" s="69"/>
      <c r="AY954" s="69"/>
      <c r="AZ954" s="69"/>
      <c r="BA954" s="69"/>
      <c r="BB954" s="69"/>
      <c r="BC954" s="69"/>
      <c r="BD954" s="69"/>
      <c r="BE954" s="69"/>
      <c r="BF954" s="69"/>
      <c r="BG954" s="69"/>
      <c r="BH954" s="69"/>
      <c r="BI954" s="69"/>
      <c r="BJ954" s="69"/>
      <c r="BK954" s="69"/>
      <c r="BL954" s="69"/>
      <c r="BM954" s="69"/>
      <c r="BN954" s="69"/>
      <c r="BO954" s="69"/>
      <c r="BP954" s="69"/>
      <c r="BQ954" s="69"/>
      <c r="BR954" s="8"/>
    </row>
    <row r="955" ht="12.0" customHeight="1">
      <c r="A955" s="69"/>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c r="AN955" s="78"/>
      <c r="AO955" s="78"/>
      <c r="AP955" s="78"/>
      <c r="AQ955" s="78"/>
      <c r="AR955" s="69"/>
      <c r="AS955" s="69"/>
      <c r="AT955" s="69"/>
      <c r="AU955" s="69"/>
      <c r="AV955" s="69"/>
      <c r="AW955" s="69"/>
      <c r="AX955" s="69"/>
      <c r="AY955" s="69"/>
      <c r="AZ955" s="69"/>
      <c r="BA955" s="69"/>
      <c r="BB955" s="69"/>
      <c r="BC955" s="69"/>
      <c r="BD955" s="69"/>
      <c r="BE955" s="69"/>
      <c r="BF955" s="69"/>
      <c r="BG955" s="69"/>
      <c r="BH955" s="69"/>
      <c r="BI955" s="69"/>
      <c r="BJ955" s="69"/>
      <c r="BK955" s="69"/>
      <c r="BL955" s="69"/>
      <c r="BM955" s="69"/>
      <c r="BN955" s="69"/>
      <c r="BO955" s="69"/>
      <c r="BP955" s="69"/>
      <c r="BQ955" s="69"/>
      <c r="BR955" s="8"/>
    </row>
    <row r="956" ht="12.0" customHeight="1">
      <c r="A956" s="69"/>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c r="AN956" s="78"/>
      <c r="AO956" s="78"/>
      <c r="AP956" s="78"/>
      <c r="AQ956" s="78"/>
      <c r="AR956" s="69"/>
      <c r="AS956" s="69"/>
      <c r="AT956" s="69"/>
      <c r="AU956" s="69"/>
      <c r="AV956" s="69"/>
      <c r="AW956" s="69"/>
      <c r="AX956" s="69"/>
      <c r="AY956" s="69"/>
      <c r="AZ956" s="69"/>
      <c r="BA956" s="69"/>
      <c r="BB956" s="69"/>
      <c r="BC956" s="69"/>
      <c r="BD956" s="69"/>
      <c r="BE956" s="69"/>
      <c r="BF956" s="69"/>
      <c r="BG956" s="69"/>
      <c r="BH956" s="69"/>
      <c r="BI956" s="69"/>
      <c r="BJ956" s="69"/>
      <c r="BK956" s="69"/>
      <c r="BL956" s="69"/>
      <c r="BM956" s="69"/>
      <c r="BN956" s="69"/>
      <c r="BO956" s="69"/>
      <c r="BP956" s="69"/>
      <c r="BQ956" s="69"/>
      <c r="BR956" s="8"/>
    </row>
    <row r="957" ht="12.0" customHeight="1">
      <c r="A957" s="69"/>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M957" s="78"/>
      <c r="AN957" s="78"/>
      <c r="AO957" s="78"/>
      <c r="AP957" s="78"/>
      <c r="AQ957" s="78"/>
      <c r="AR957" s="69"/>
      <c r="AS957" s="69"/>
      <c r="AT957" s="69"/>
      <c r="AU957" s="69"/>
      <c r="AV957" s="69"/>
      <c r="AW957" s="69"/>
      <c r="AX957" s="69"/>
      <c r="AY957" s="69"/>
      <c r="AZ957" s="69"/>
      <c r="BA957" s="69"/>
      <c r="BB957" s="69"/>
      <c r="BC957" s="69"/>
      <c r="BD957" s="69"/>
      <c r="BE957" s="69"/>
      <c r="BF957" s="69"/>
      <c r="BG957" s="69"/>
      <c r="BH957" s="69"/>
      <c r="BI957" s="69"/>
      <c r="BJ957" s="69"/>
      <c r="BK957" s="69"/>
      <c r="BL957" s="69"/>
      <c r="BM957" s="69"/>
      <c r="BN957" s="69"/>
      <c r="BO957" s="69"/>
      <c r="BP957" s="69"/>
      <c r="BQ957" s="69"/>
      <c r="BR957" s="8"/>
    </row>
    <row r="958" ht="12.0" customHeight="1">
      <c r="A958" s="69"/>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M958" s="78"/>
      <c r="AN958" s="78"/>
      <c r="AO958" s="78"/>
      <c r="AP958" s="78"/>
      <c r="AQ958" s="78"/>
      <c r="AR958" s="69"/>
      <c r="AS958" s="69"/>
      <c r="AT958" s="69"/>
      <c r="AU958" s="69"/>
      <c r="AV958" s="69"/>
      <c r="AW958" s="69"/>
      <c r="AX958" s="69"/>
      <c r="AY958" s="69"/>
      <c r="AZ958" s="69"/>
      <c r="BA958" s="69"/>
      <c r="BB958" s="69"/>
      <c r="BC958" s="69"/>
      <c r="BD958" s="69"/>
      <c r="BE958" s="69"/>
      <c r="BF958" s="69"/>
      <c r="BG958" s="69"/>
      <c r="BH958" s="69"/>
      <c r="BI958" s="69"/>
      <c r="BJ958" s="69"/>
      <c r="BK958" s="69"/>
      <c r="BL958" s="69"/>
      <c r="BM958" s="69"/>
      <c r="BN958" s="69"/>
      <c r="BO958" s="69"/>
      <c r="BP958" s="69"/>
      <c r="BQ958" s="69"/>
      <c r="BR958" s="8"/>
    </row>
    <row r="959" ht="12.0" customHeight="1">
      <c r="A959" s="69"/>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c r="AN959" s="78"/>
      <c r="AO959" s="78"/>
      <c r="AP959" s="78"/>
      <c r="AQ959" s="78"/>
      <c r="AR959" s="69"/>
      <c r="AS959" s="69"/>
      <c r="AT959" s="69"/>
      <c r="AU959" s="69"/>
      <c r="AV959" s="69"/>
      <c r="AW959" s="69"/>
      <c r="AX959" s="69"/>
      <c r="AY959" s="69"/>
      <c r="AZ959" s="69"/>
      <c r="BA959" s="69"/>
      <c r="BB959" s="69"/>
      <c r="BC959" s="69"/>
      <c r="BD959" s="69"/>
      <c r="BE959" s="69"/>
      <c r="BF959" s="69"/>
      <c r="BG959" s="69"/>
      <c r="BH959" s="69"/>
      <c r="BI959" s="69"/>
      <c r="BJ959" s="69"/>
      <c r="BK959" s="69"/>
      <c r="BL959" s="69"/>
      <c r="BM959" s="69"/>
      <c r="BN959" s="69"/>
      <c r="BO959" s="69"/>
      <c r="BP959" s="69"/>
      <c r="BQ959" s="69"/>
      <c r="BR959" s="8"/>
    </row>
    <row r="960" ht="12.0" customHeight="1">
      <c r="A960" s="69"/>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M960" s="78"/>
      <c r="AN960" s="78"/>
      <c r="AO960" s="78"/>
      <c r="AP960" s="78"/>
      <c r="AQ960" s="78"/>
      <c r="AR960" s="69"/>
      <c r="AS960" s="69"/>
      <c r="AT960" s="69"/>
      <c r="AU960" s="69"/>
      <c r="AV960" s="69"/>
      <c r="AW960" s="69"/>
      <c r="AX960" s="69"/>
      <c r="AY960" s="69"/>
      <c r="AZ960" s="69"/>
      <c r="BA960" s="69"/>
      <c r="BB960" s="69"/>
      <c r="BC960" s="69"/>
      <c r="BD960" s="69"/>
      <c r="BE960" s="69"/>
      <c r="BF960" s="69"/>
      <c r="BG960" s="69"/>
      <c r="BH960" s="69"/>
      <c r="BI960" s="69"/>
      <c r="BJ960" s="69"/>
      <c r="BK960" s="69"/>
      <c r="BL960" s="69"/>
      <c r="BM960" s="69"/>
      <c r="BN960" s="69"/>
      <c r="BO960" s="69"/>
      <c r="BP960" s="69"/>
      <c r="BQ960" s="69"/>
      <c r="BR960" s="8"/>
    </row>
    <row r="961" ht="12.0" customHeight="1">
      <c r="A961" s="69"/>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c r="AN961" s="78"/>
      <c r="AO961" s="78"/>
      <c r="AP961" s="78"/>
      <c r="AQ961" s="78"/>
      <c r="AR961" s="69"/>
      <c r="AS961" s="69"/>
      <c r="AT961" s="69"/>
      <c r="AU961" s="69"/>
      <c r="AV961" s="69"/>
      <c r="AW961" s="69"/>
      <c r="AX961" s="69"/>
      <c r="AY961" s="69"/>
      <c r="AZ961" s="69"/>
      <c r="BA961" s="69"/>
      <c r="BB961" s="69"/>
      <c r="BC961" s="69"/>
      <c r="BD961" s="69"/>
      <c r="BE961" s="69"/>
      <c r="BF961" s="69"/>
      <c r="BG961" s="69"/>
      <c r="BH961" s="69"/>
      <c r="BI961" s="69"/>
      <c r="BJ961" s="69"/>
      <c r="BK961" s="69"/>
      <c r="BL961" s="69"/>
      <c r="BM961" s="69"/>
      <c r="BN961" s="69"/>
      <c r="BO961" s="69"/>
      <c r="BP961" s="69"/>
      <c r="BQ961" s="69"/>
      <c r="BR961" s="8"/>
    </row>
    <row r="962" ht="12.0" customHeight="1">
      <c r="A962" s="69"/>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c r="AN962" s="78"/>
      <c r="AO962" s="78"/>
      <c r="AP962" s="78"/>
      <c r="AQ962" s="78"/>
      <c r="AR962" s="69"/>
      <c r="AS962" s="69"/>
      <c r="AT962" s="69"/>
      <c r="AU962" s="69"/>
      <c r="AV962" s="69"/>
      <c r="AW962" s="69"/>
      <c r="AX962" s="69"/>
      <c r="AY962" s="69"/>
      <c r="AZ962" s="69"/>
      <c r="BA962" s="69"/>
      <c r="BB962" s="69"/>
      <c r="BC962" s="69"/>
      <c r="BD962" s="69"/>
      <c r="BE962" s="69"/>
      <c r="BF962" s="69"/>
      <c r="BG962" s="69"/>
      <c r="BH962" s="69"/>
      <c r="BI962" s="69"/>
      <c r="BJ962" s="69"/>
      <c r="BK962" s="69"/>
      <c r="BL962" s="69"/>
      <c r="BM962" s="69"/>
      <c r="BN962" s="69"/>
      <c r="BO962" s="69"/>
      <c r="BP962" s="69"/>
      <c r="BQ962" s="69"/>
      <c r="BR962" s="8"/>
    </row>
    <row r="963" ht="12.0" customHeight="1">
      <c r="A963" s="69"/>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c r="AN963" s="78"/>
      <c r="AO963" s="78"/>
      <c r="AP963" s="78"/>
      <c r="AQ963" s="78"/>
      <c r="AR963" s="69"/>
      <c r="AS963" s="69"/>
      <c r="AT963" s="69"/>
      <c r="AU963" s="69"/>
      <c r="AV963" s="69"/>
      <c r="AW963" s="69"/>
      <c r="AX963" s="69"/>
      <c r="AY963" s="69"/>
      <c r="AZ963" s="69"/>
      <c r="BA963" s="69"/>
      <c r="BB963" s="69"/>
      <c r="BC963" s="69"/>
      <c r="BD963" s="69"/>
      <c r="BE963" s="69"/>
      <c r="BF963" s="69"/>
      <c r="BG963" s="69"/>
      <c r="BH963" s="69"/>
      <c r="BI963" s="69"/>
      <c r="BJ963" s="69"/>
      <c r="BK963" s="69"/>
      <c r="BL963" s="69"/>
      <c r="BM963" s="69"/>
      <c r="BN963" s="69"/>
      <c r="BO963" s="69"/>
      <c r="BP963" s="69"/>
      <c r="BQ963" s="69"/>
      <c r="BR963" s="8"/>
    </row>
    <row r="964" ht="12.0" customHeight="1">
      <c r="A964" s="69"/>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M964" s="78"/>
      <c r="AN964" s="78"/>
      <c r="AO964" s="78"/>
      <c r="AP964" s="78"/>
      <c r="AQ964" s="78"/>
      <c r="AR964" s="69"/>
      <c r="AS964" s="69"/>
      <c r="AT964" s="69"/>
      <c r="AU964" s="69"/>
      <c r="AV964" s="69"/>
      <c r="AW964" s="69"/>
      <c r="AX964" s="69"/>
      <c r="AY964" s="69"/>
      <c r="AZ964" s="69"/>
      <c r="BA964" s="69"/>
      <c r="BB964" s="69"/>
      <c r="BC964" s="69"/>
      <c r="BD964" s="69"/>
      <c r="BE964" s="69"/>
      <c r="BF964" s="69"/>
      <c r="BG964" s="69"/>
      <c r="BH964" s="69"/>
      <c r="BI964" s="69"/>
      <c r="BJ964" s="69"/>
      <c r="BK964" s="69"/>
      <c r="BL964" s="69"/>
      <c r="BM964" s="69"/>
      <c r="BN964" s="69"/>
      <c r="BO964" s="69"/>
      <c r="BP964" s="69"/>
      <c r="BQ964" s="69"/>
      <c r="BR964" s="8"/>
    </row>
    <row r="965" ht="12.0" customHeight="1">
      <c r="A965" s="69"/>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M965" s="78"/>
      <c r="AN965" s="78"/>
      <c r="AO965" s="78"/>
      <c r="AP965" s="78"/>
      <c r="AQ965" s="78"/>
      <c r="AR965" s="69"/>
      <c r="AS965" s="69"/>
      <c r="AT965" s="69"/>
      <c r="AU965" s="69"/>
      <c r="AV965" s="69"/>
      <c r="AW965" s="69"/>
      <c r="AX965" s="69"/>
      <c r="AY965" s="69"/>
      <c r="AZ965" s="69"/>
      <c r="BA965" s="69"/>
      <c r="BB965" s="69"/>
      <c r="BC965" s="69"/>
      <c r="BD965" s="69"/>
      <c r="BE965" s="69"/>
      <c r="BF965" s="69"/>
      <c r="BG965" s="69"/>
      <c r="BH965" s="69"/>
      <c r="BI965" s="69"/>
      <c r="BJ965" s="69"/>
      <c r="BK965" s="69"/>
      <c r="BL965" s="69"/>
      <c r="BM965" s="69"/>
      <c r="BN965" s="69"/>
      <c r="BO965" s="69"/>
      <c r="BP965" s="69"/>
      <c r="BQ965" s="69"/>
      <c r="BR965" s="8"/>
    </row>
    <row r="966" ht="12.0" customHeight="1">
      <c r="A966" s="69"/>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M966" s="78"/>
      <c r="AN966" s="78"/>
      <c r="AO966" s="78"/>
      <c r="AP966" s="78"/>
      <c r="AQ966" s="78"/>
      <c r="AR966" s="69"/>
      <c r="AS966" s="69"/>
      <c r="AT966" s="69"/>
      <c r="AU966" s="69"/>
      <c r="AV966" s="69"/>
      <c r="AW966" s="69"/>
      <c r="AX966" s="69"/>
      <c r="AY966" s="69"/>
      <c r="AZ966" s="69"/>
      <c r="BA966" s="69"/>
      <c r="BB966" s="69"/>
      <c r="BC966" s="69"/>
      <c r="BD966" s="69"/>
      <c r="BE966" s="69"/>
      <c r="BF966" s="69"/>
      <c r="BG966" s="69"/>
      <c r="BH966" s="69"/>
      <c r="BI966" s="69"/>
      <c r="BJ966" s="69"/>
      <c r="BK966" s="69"/>
      <c r="BL966" s="69"/>
      <c r="BM966" s="69"/>
      <c r="BN966" s="69"/>
      <c r="BO966" s="69"/>
      <c r="BP966" s="69"/>
      <c r="BQ966" s="69"/>
      <c r="BR966" s="8"/>
    </row>
    <row r="967" ht="12.0" customHeight="1">
      <c r="A967" s="69"/>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c r="AN967" s="78"/>
      <c r="AO967" s="78"/>
      <c r="AP967" s="78"/>
      <c r="AQ967" s="78"/>
      <c r="AR967" s="69"/>
      <c r="AS967" s="69"/>
      <c r="AT967" s="69"/>
      <c r="AU967" s="69"/>
      <c r="AV967" s="69"/>
      <c r="AW967" s="69"/>
      <c r="AX967" s="69"/>
      <c r="AY967" s="69"/>
      <c r="AZ967" s="69"/>
      <c r="BA967" s="69"/>
      <c r="BB967" s="69"/>
      <c r="BC967" s="69"/>
      <c r="BD967" s="69"/>
      <c r="BE967" s="69"/>
      <c r="BF967" s="69"/>
      <c r="BG967" s="69"/>
      <c r="BH967" s="69"/>
      <c r="BI967" s="69"/>
      <c r="BJ967" s="69"/>
      <c r="BK967" s="69"/>
      <c r="BL967" s="69"/>
      <c r="BM967" s="69"/>
      <c r="BN967" s="69"/>
      <c r="BO967" s="69"/>
      <c r="BP967" s="69"/>
      <c r="BQ967" s="69"/>
      <c r="BR967" s="8"/>
    </row>
    <row r="968" ht="12.0" customHeight="1">
      <c r="A968" s="69"/>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M968" s="78"/>
      <c r="AN968" s="78"/>
      <c r="AO968" s="78"/>
      <c r="AP968" s="78"/>
      <c r="AQ968" s="78"/>
      <c r="AR968" s="69"/>
      <c r="AS968" s="69"/>
      <c r="AT968" s="69"/>
      <c r="AU968" s="69"/>
      <c r="AV968" s="69"/>
      <c r="AW968" s="69"/>
      <c r="AX968" s="69"/>
      <c r="AY968" s="69"/>
      <c r="AZ968" s="69"/>
      <c r="BA968" s="69"/>
      <c r="BB968" s="69"/>
      <c r="BC968" s="69"/>
      <c r="BD968" s="69"/>
      <c r="BE968" s="69"/>
      <c r="BF968" s="69"/>
      <c r="BG968" s="69"/>
      <c r="BH968" s="69"/>
      <c r="BI968" s="69"/>
      <c r="BJ968" s="69"/>
      <c r="BK968" s="69"/>
      <c r="BL968" s="69"/>
      <c r="BM968" s="69"/>
      <c r="BN968" s="69"/>
      <c r="BO968" s="69"/>
      <c r="BP968" s="69"/>
      <c r="BQ968" s="69"/>
      <c r="BR968" s="8"/>
    </row>
    <row r="969" ht="12.0" customHeight="1">
      <c r="A969" s="69"/>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c r="AN969" s="78"/>
      <c r="AO969" s="78"/>
      <c r="AP969" s="78"/>
      <c r="AQ969" s="78"/>
      <c r="AR969" s="69"/>
      <c r="AS969" s="69"/>
      <c r="AT969" s="69"/>
      <c r="AU969" s="69"/>
      <c r="AV969" s="69"/>
      <c r="AW969" s="69"/>
      <c r="AX969" s="69"/>
      <c r="AY969" s="69"/>
      <c r="AZ969" s="69"/>
      <c r="BA969" s="69"/>
      <c r="BB969" s="69"/>
      <c r="BC969" s="69"/>
      <c r="BD969" s="69"/>
      <c r="BE969" s="69"/>
      <c r="BF969" s="69"/>
      <c r="BG969" s="69"/>
      <c r="BH969" s="69"/>
      <c r="BI969" s="69"/>
      <c r="BJ969" s="69"/>
      <c r="BK969" s="69"/>
      <c r="BL969" s="69"/>
      <c r="BM969" s="69"/>
      <c r="BN969" s="69"/>
      <c r="BO969" s="69"/>
      <c r="BP969" s="69"/>
      <c r="BQ969" s="69"/>
      <c r="BR969" s="8"/>
    </row>
    <row r="970" ht="12.0" customHeight="1">
      <c r="A970" s="69"/>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c r="AN970" s="78"/>
      <c r="AO970" s="78"/>
      <c r="AP970" s="78"/>
      <c r="AQ970" s="78"/>
      <c r="AR970" s="69"/>
      <c r="AS970" s="69"/>
      <c r="AT970" s="69"/>
      <c r="AU970" s="69"/>
      <c r="AV970" s="69"/>
      <c r="AW970" s="69"/>
      <c r="AX970" s="69"/>
      <c r="AY970" s="69"/>
      <c r="AZ970" s="69"/>
      <c r="BA970" s="69"/>
      <c r="BB970" s="69"/>
      <c r="BC970" s="69"/>
      <c r="BD970" s="69"/>
      <c r="BE970" s="69"/>
      <c r="BF970" s="69"/>
      <c r="BG970" s="69"/>
      <c r="BH970" s="69"/>
      <c r="BI970" s="69"/>
      <c r="BJ970" s="69"/>
      <c r="BK970" s="69"/>
      <c r="BL970" s="69"/>
      <c r="BM970" s="69"/>
      <c r="BN970" s="69"/>
      <c r="BO970" s="69"/>
      <c r="BP970" s="69"/>
      <c r="BQ970" s="69"/>
      <c r="BR970" s="8"/>
    </row>
    <row r="971" ht="12.0" customHeight="1">
      <c r="A971" s="69"/>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M971" s="78"/>
      <c r="AN971" s="78"/>
      <c r="AO971" s="78"/>
      <c r="AP971" s="78"/>
      <c r="AQ971" s="78"/>
      <c r="AR971" s="69"/>
      <c r="AS971" s="69"/>
      <c r="AT971" s="69"/>
      <c r="AU971" s="69"/>
      <c r="AV971" s="69"/>
      <c r="AW971" s="69"/>
      <c r="AX971" s="69"/>
      <c r="AY971" s="69"/>
      <c r="AZ971" s="69"/>
      <c r="BA971" s="69"/>
      <c r="BB971" s="69"/>
      <c r="BC971" s="69"/>
      <c r="BD971" s="69"/>
      <c r="BE971" s="69"/>
      <c r="BF971" s="69"/>
      <c r="BG971" s="69"/>
      <c r="BH971" s="69"/>
      <c r="BI971" s="69"/>
      <c r="BJ971" s="69"/>
      <c r="BK971" s="69"/>
      <c r="BL971" s="69"/>
      <c r="BM971" s="69"/>
      <c r="BN971" s="69"/>
      <c r="BO971" s="69"/>
      <c r="BP971" s="69"/>
      <c r="BQ971" s="69"/>
      <c r="BR971" s="8"/>
    </row>
    <row r="972" ht="12.0" customHeight="1">
      <c r="A972" s="69"/>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M972" s="78"/>
      <c r="AN972" s="78"/>
      <c r="AO972" s="78"/>
      <c r="AP972" s="78"/>
      <c r="AQ972" s="78"/>
      <c r="AR972" s="69"/>
      <c r="AS972" s="69"/>
      <c r="AT972" s="69"/>
      <c r="AU972" s="69"/>
      <c r="AV972" s="69"/>
      <c r="AW972" s="69"/>
      <c r="AX972" s="69"/>
      <c r="AY972" s="69"/>
      <c r="AZ972" s="69"/>
      <c r="BA972" s="69"/>
      <c r="BB972" s="69"/>
      <c r="BC972" s="69"/>
      <c r="BD972" s="69"/>
      <c r="BE972" s="69"/>
      <c r="BF972" s="69"/>
      <c r="BG972" s="69"/>
      <c r="BH972" s="69"/>
      <c r="BI972" s="69"/>
      <c r="BJ972" s="69"/>
      <c r="BK972" s="69"/>
      <c r="BL972" s="69"/>
      <c r="BM972" s="69"/>
      <c r="BN972" s="69"/>
      <c r="BO972" s="69"/>
      <c r="BP972" s="69"/>
      <c r="BQ972" s="69"/>
      <c r="BR972" s="8"/>
    </row>
    <row r="973" ht="12.0" customHeight="1">
      <c r="A973" s="69"/>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c r="AN973" s="78"/>
      <c r="AO973" s="78"/>
      <c r="AP973" s="78"/>
      <c r="AQ973" s="78"/>
      <c r="AR973" s="69"/>
      <c r="AS973" s="69"/>
      <c r="AT973" s="69"/>
      <c r="AU973" s="69"/>
      <c r="AV973" s="69"/>
      <c r="AW973" s="69"/>
      <c r="AX973" s="69"/>
      <c r="AY973" s="69"/>
      <c r="AZ973" s="69"/>
      <c r="BA973" s="69"/>
      <c r="BB973" s="69"/>
      <c r="BC973" s="69"/>
      <c r="BD973" s="69"/>
      <c r="BE973" s="69"/>
      <c r="BF973" s="69"/>
      <c r="BG973" s="69"/>
      <c r="BH973" s="69"/>
      <c r="BI973" s="69"/>
      <c r="BJ973" s="69"/>
      <c r="BK973" s="69"/>
      <c r="BL973" s="69"/>
      <c r="BM973" s="69"/>
      <c r="BN973" s="69"/>
      <c r="BO973" s="69"/>
      <c r="BP973" s="69"/>
      <c r="BQ973" s="69"/>
      <c r="BR973" s="8"/>
    </row>
    <row r="974" ht="12.0" customHeight="1">
      <c r="A974" s="69"/>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c r="AN974" s="78"/>
      <c r="AO974" s="78"/>
      <c r="AP974" s="78"/>
      <c r="AQ974" s="78"/>
      <c r="AR974" s="69"/>
      <c r="AS974" s="69"/>
      <c r="AT974" s="69"/>
      <c r="AU974" s="69"/>
      <c r="AV974" s="69"/>
      <c r="AW974" s="69"/>
      <c r="AX974" s="69"/>
      <c r="AY974" s="69"/>
      <c r="AZ974" s="69"/>
      <c r="BA974" s="69"/>
      <c r="BB974" s="69"/>
      <c r="BC974" s="69"/>
      <c r="BD974" s="69"/>
      <c r="BE974" s="69"/>
      <c r="BF974" s="69"/>
      <c r="BG974" s="69"/>
      <c r="BH974" s="69"/>
      <c r="BI974" s="69"/>
      <c r="BJ974" s="69"/>
      <c r="BK974" s="69"/>
      <c r="BL974" s="69"/>
      <c r="BM974" s="69"/>
      <c r="BN974" s="69"/>
      <c r="BO974" s="69"/>
      <c r="BP974" s="69"/>
      <c r="BQ974" s="69"/>
      <c r="BR974" s="8"/>
    </row>
    <row r="975" ht="12.0" customHeight="1">
      <c r="A975" s="69"/>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M975" s="78"/>
      <c r="AN975" s="78"/>
      <c r="AO975" s="78"/>
      <c r="AP975" s="78"/>
      <c r="AQ975" s="78"/>
      <c r="AR975" s="69"/>
      <c r="AS975" s="69"/>
      <c r="AT975" s="69"/>
      <c r="AU975" s="69"/>
      <c r="AV975" s="69"/>
      <c r="AW975" s="69"/>
      <c r="AX975" s="69"/>
      <c r="AY975" s="69"/>
      <c r="AZ975" s="69"/>
      <c r="BA975" s="69"/>
      <c r="BB975" s="69"/>
      <c r="BC975" s="69"/>
      <c r="BD975" s="69"/>
      <c r="BE975" s="69"/>
      <c r="BF975" s="69"/>
      <c r="BG975" s="69"/>
      <c r="BH975" s="69"/>
      <c r="BI975" s="69"/>
      <c r="BJ975" s="69"/>
      <c r="BK975" s="69"/>
      <c r="BL975" s="69"/>
      <c r="BM975" s="69"/>
      <c r="BN975" s="69"/>
      <c r="BO975" s="69"/>
      <c r="BP975" s="69"/>
      <c r="BQ975" s="69"/>
      <c r="BR975" s="8"/>
    </row>
    <row r="976" ht="12.0" customHeight="1">
      <c r="A976" s="69"/>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M976" s="78"/>
      <c r="AN976" s="78"/>
      <c r="AO976" s="78"/>
      <c r="AP976" s="78"/>
      <c r="AQ976" s="78"/>
      <c r="AR976" s="69"/>
      <c r="AS976" s="69"/>
      <c r="AT976" s="69"/>
      <c r="AU976" s="69"/>
      <c r="AV976" s="69"/>
      <c r="AW976" s="69"/>
      <c r="AX976" s="69"/>
      <c r="AY976" s="69"/>
      <c r="AZ976" s="69"/>
      <c r="BA976" s="69"/>
      <c r="BB976" s="69"/>
      <c r="BC976" s="69"/>
      <c r="BD976" s="69"/>
      <c r="BE976" s="69"/>
      <c r="BF976" s="69"/>
      <c r="BG976" s="69"/>
      <c r="BH976" s="69"/>
      <c r="BI976" s="69"/>
      <c r="BJ976" s="69"/>
      <c r="BK976" s="69"/>
      <c r="BL976" s="69"/>
      <c r="BM976" s="69"/>
      <c r="BN976" s="69"/>
      <c r="BO976" s="69"/>
      <c r="BP976" s="69"/>
      <c r="BQ976" s="69"/>
      <c r="BR976" s="8"/>
    </row>
    <row r="977" ht="12.0" customHeight="1">
      <c r="A977" s="69"/>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M977" s="78"/>
      <c r="AN977" s="78"/>
      <c r="AO977" s="78"/>
      <c r="AP977" s="78"/>
      <c r="AQ977" s="78"/>
      <c r="AR977" s="69"/>
      <c r="AS977" s="69"/>
      <c r="AT977" s="69"/>
      <c r="AU977" s="69"/>
      <c r="AV977" s="69"/>
      <c r="AW977" s="69"/>
      <c r="AX977" s="69"/>
      <c r="AY977" s="69"/>
      <c r="AZ977" s="69"/>
      <c r="BA977" s="69"/>
      <c r="BB977" s="69"/>
      <c r="BC977" s="69"/>
      <c r="BD977" s="69"/>
      <c r="BE977" s="69"/>
      <c r="BF977" s="69"/>
      <c r="BG977" s="69"/>
      <c r="BH977" s="69"/>
      <c r="BI977" s="69"/>
      <c r="BJ977" s="69"/>
      <c r="BK977" s="69"/>
      <c r="BL977" s="69"/>
      <c r="BM977" s="69"/>
      <c r="BN977" s="69"/>
      <c r="BO977" s="69"/>
      <c r="BP977" s="69"/>
      <c r="BQ977" s="69"/>
      <c r="BR977" s="8"/>
    </row>
    <row r="978" ht="12.0" customHeight="1">
      <c r="A978" s="69"/>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M978" s="78"/>
      <c r="AN978" s="78"/>
      <c r="AO978" s="78"/>
      <c r="AP978" s="78"/>
      <c r="AQ978" s="78"/>
      <c r="AR978" s="69"/>
      <c r="AS978" s="69"/>
      <c r="AT978" s="69"/>
      <c r="AU978" s="69"/>
      <c r="AV978" s="69"/>
      <c r="AW978" s="69"/>
      <c r="AX978" s="69"/>
      <c r="AY978" s="69"/>
      <c r="AZ978" s="69"/>
      <c r="BA978" s="69"/>
      <c r="BB978" s="69"/>
      <c r="BC978" s="69"/>
      <c r="BD978" s="69"/>
      <c r="BE978" s="69"/>
      <c r="BF978" s="69"/>
      <c r="BG978" s="69"/>
      <c r="BH978" s="69"/>
      <c r="BI978" s="69"/>
      <c r="BJ978" s="69"/>
      <c r="BK978" s="69"/>
      <c r="BL978" s="69"/>
      <c r="BM978" s="69"/>
      <c r="BN978" s="69"/>
      <c r="BO978" s="69"/>
      <c r="BP978" s="69"/>
      <c r="BQ978" s="69"/>
      <c r="BR978" s="8"/>
    </row>
    <row r="979" ht="12.0" customHeight="1">
      <c r="A979" s="69"/>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M979" s="78"/>
      <c r="AN979" s="78"/>
      <c r="AO979" s="78"/>
      <c r="AP979" s="78"/>
      <c r="AQ979" s="78"/>
      <c r="AR979" s="69"/>
      <c r="AS979" s="69"/>
      <c r="AT979" s="69"/>
      <c r="AU979" s="69"/>
      <c r="AV979" s="69"/>
      <c r="AW979" s="69"/>
      <c r="AX979" s="69"/>
      <c r="AY979" s="69"/>
      <c r="AZ979" s="69"/>
      <c r="BA979" s="69"/>
      <c r="BB979" s="69"/>
      <c r="BC979" s="69"/>
      <c r="BD979" s="69"/>
      <c r="BE979" s="69"/>
      <c r="BF979" s="69"/>
      <c r="BG979" s="69"/>
      <c r="BH979" s="69"/>
      <c r="BI979" s="69"/>
      <c r="BJ979" s="69"/>
      <c r="BK979" s="69"/>
      <c r="BL979" s="69"/>
      <c r="BM979" s="69"/>
      <c r="BN979" s="69"/>
      <c r="BO979" s="69"/>
      <c r="BP979" s="69"/>
      <c r="BQ979" s="69"/>
      <c r="BR979" s="8"/>
    </row>
    <row r="980" ht="12.0" customHeight="1">
      <c r="A980" s="69"/>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c r="AN980" s="78"/>
      <c r="AO980" s="78"/>
      <c r="AP980" s="78"/>
      <c r="AQ980" s="78"/>
      <c r="AR980" s="69"/>
      <c r="AS980" s="69"/>
      <c r="AT980" s="69"/>
      <c r="AU980" s="69"/>
      <c r="AV980" s="69"/>
      <c r="AW980" s="69"/>
      <c r="AX980" s="69"/>
      <c r="AY980" s="69"/>
      <c r="AZ980" s="69"/>
      <c r="BA980" s="69"/>
      <c r="BB980" s="69"/>
      <c r="BC980" s="69"/>
      <c r="BD980" s="69"/>
      <c r="BE980" s="69"/>
      <c r="BF980" s="69"/>
      <c r="BG980" s="69"/>
      <c r="BH980" s="69"/>
      <c r="BI980" s="69"/>
      <c r="BJ980" s="69"/>
      <c r="BK980" s="69"/>
      <c r="BL980" s="69"/>
      <c r="BM980" s="69"/>
      <c r="BN980" s="69"/>
      <c r="BO980" s="69"/>
      <c r="BP980" s="69"/>
      <c r="BQ980" s="69"/>
      <c r="BR980" s="8"/>
    </row>
    <row r="981" ht="12.0" customHeight="1">
      <c r="A981" s="69"/>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c r="AN981" s="78"/>
      <c r="AO981" s="78"/>
      <c r="AP981" s="78"/>
      <c r="AQ981" s="78"/>
      <c r="AR981" s="69"/>
      <c r="AS981" s="69"/>
      <c r="AT981" s="69"/>
      <c r="AU981" s="69"/>
      <c r="AV981" s="69"/>
      <c r="AW981" s="69"/>
      <c r="AX981" s="69"/>
      <c r="AY981" s="69"/>
      <c r="AZ981" s="69"/>
      <c r="BA981" s="69"/>
      <c r="BB981" s="69"/>
      <c r="BC981" s="69"/>
      <c r="BD981" s="69"/>
      <c r="BE981" s="69"/>
      <c r="BF981" s="69"/>
      <c r="BG981" s="69"/>
      <c r="BH981" s="69"/>
      <c r="BI981" s="69"/>
      <c r="BJ981" s="69"/>
      <c r="BK981" s="69"/>
      <c r="BL981" s="69"/>
      <c r="BM981" s="69"/>
      <c r="BN981" s="69"/>
      <c r="BO981" s="69"/>
      <c r="BP981" s="69"/>
      <c r="BQ981" s="69"/>
      <c r="BR981" s="8"/>
    </row>
    <row r="982" ht="12.0" customHeight="1">
      <c r="A982" s="69"/>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c r="AN982" s="78"/>
      <c r="AO982" s="78"/>
      <c r="AP982" s="78"/>
      <c r="AQ982" s="78"/>
      <c r="AR982" s="69"/>
      <c r="AS982" s="69"/>
      <c r="AT982" s="69"/>
      <c r="AU982" s="69"/>
      <c r="AV982" s="69"/>
      <c r="AW982" s="69"/>
      <c r="AX982" s="69"/>
      <c r="AY982" s="69"/>
      <c r="AZ982" s="69"/>
      <c r="BA982" s="69"/>
      <c r="BB982" s="69"/>
      <c r="BC982" s="69"/>
      <c r="BD982" s="69"/>
      <c r="BE982" s="69"/>
      <c r="BF982" s="69"/>
      <c r="BG982" s="69"/>
      <c r="BH982" s="69"/>
      <c r="BI982" s="69"/>
      <c r="BJ982" s="69"/>
      <c r="BK982" s="69"/>
      <c r="BL982" s="69"/>
      <c r="BM982" s="69"/>
      <c r="BN982" s="69"/>
      <c r="BO982" s="69"/>
      <c r="BP982" s="69"/>
      <c r="BQ982" s="69"/>
      <c r="BR982" s="8"/>
    </row>
    <row r="983" ht="12.0" customHeight="1">
      <c r="A983" s="69"/>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M983" s="78"/>
      <c r="AN983" s="78"/>
      <c r="AO983" s="78"/>
      <c r="AP983" s="78"/>
      <c r="AQ983" s="78"/>
      <c r="AR983" s="69"/>
      <c r="AS983" s="69"/>
      <c r="AT983" s="69"/>
      <c r="AU983" s="69"/>
      <c r="AV983" s="69"/>
      <c r="AW983" s="69"/>
      <c r="AX983" s="69"/>
      <c r="AY983" s="69"/>
      <c r="AZ983" s="69"/>
      <c r="BA983" s="69"/>
      <c r="BB983" s="69"/>
      <c r="BC983" s="69"/>
      <c r="BD983" s="69"/>
      <c r="BE983" s="69"/>
      <c r="BF983" s="69"/>
      <c r="BG983" s="69"/>
      <c r="BH983" s="69"/>
      <c r="BI983" s="69"/>
      <c r="BJ983" s="69"/>
      <c r="BK983" s="69"/>
      <c r="BL983" s="69"/>
      <c r="BM983" s="69"/>
      <c r="BN983" s="69"/>
      <c r="BO983" s="69"/>
      <c r="BP983" s="69"/>
      <c r="BQ983" s="69"/>
      <c r="BR983" s="8"/>
    </row>
    <row r="984" ht="12.0" customHeight="1">
      <c r="A984" s="69"/>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M984" s="78"/>
      <c r="AN984" s="78"/>
      <c r="AO984" s="78"/>
      <c r="AP984" s="78"/>
      <c r="AQ984" s="78"/>
      <c r="AR984" s="69"/>
      <c r="AS984" s="69"/>
      <c r="AT984" s="69"/>
      <c r="AU984" s="69"/>
      <c r="AV984" s="69"/>
      <c r="AW984" s="69"/>
      <c r="AX984" s="69"/>
      <c r="AY984" s="69"/>
      <c r="AZ984" s="69"/>
      <c r="BA984" s="69"/>
      <c r="BB984" s="69"/>
      <c r="BC984" s="69"/>
      <c r="BD984" s="69"/>
      <c r="BE984" s="69"/>
      <c r="BF984" s="69"/>
      <c r="BG984" s="69"/>
      <c r="BH984" s="69"/>
      <c r="BI984" s="69"/>
      <c r="BJ984" s="69"/>
      <c r="BK984" s="69"/>
      <c r="BL984" s="69"/>
      <c r="BM984" s="69"/>
      <c r="BN984" s="69"/>
      <c r="BO984" s="69"/>
      <c r="BP984" s="69"/>
      <c r="BQ984" s="69"/>
      <c r="BR984" s="8"/>
    </row>
    <row r="985" ht="12.0" customHeight="1">
      <c r="A985" s="69"/>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c r="AN985" s="78"/>
      <c r="AO985" s="78"/>
      <c r="AP985" s="78"/>
      <c r="AQ985" s="78"/>
      <c r="AR985" s="69"/>
      <c r="AS985" s="69"/>
      <c r="AT985" s="69"/>
      <c r="AU985" s="69"/>
      <c r="AV985" s="69"/>
      <c r="AW985" s="69"/>
      <c r="AX985" s="69"/>
      <c r="AY985" s="69"/>
      <c r="AZ985" s="69"/>
      <c r="BA985" s="69"/>
      <c r="BB985" s="69"/>
      <c r="BC985" s="69"/>
      <c r="BD985" s="69"/>
      <c r="BE985" s="69"/>
      <c r="BF985" s="69"/>
      <c r="BG985" s="69"/>
      <c r="BH985" s="69"/>
      <c r="BI985" s="69"/>
      <c r="BJ985" s="69"/>
      <c r="BK985" s="69"/>
      <c r="BL985" s="69"/>
      <c r="BM985" s="69"/>
      <c r="BN985" s="69"/>
      <c r="BO985" s="69"/>
      <c r="BP985" s="69"/>
      <c r="BQ985" s="69"/>
      <c r="BR985" s="8"/>
    </row>
    <row r="986" ht="12.0" customHeight="1">
      <c r="A986" s="69"/>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M986" s="78"/>
      <c r="AN986" s="78"/>
      <c r="AO986" s="78"/>
      <c r="AP986" s="78"/>
      <c r="AQ986" s="78"/>
      <c r="AR986" s="69"/>
      <c r="AS986" s="69"/>
      <c r="AT986" s="69"/>
      <c r="AU986" s="69"/>
      <c r="AV986" s="69"/>
      <c r="AW986" s="69"/>
      <c r="AX986" s="69"/>
      <c r="AY986" s="69"/>
      <c r="AZ986" s="69"/>
      <c r="BA986" s="69"/>
      <c r="BB986" s="69"/>
      <c r="BC986" s="69"/>
      <c r="BD986" s="69"/>
      <c r="BE986" s="69"/>
      <c r="BF986" s="69"/>
      <c r="BG986" s="69"/>
      <c r="BH986" s="69"/>
      <c r="BI986" s="69"/>
      <c r="BJ986" s="69"/>
      <c r="BK986" s="69"/>
      <c r="BL986" s="69"/>
      <c r="BM986" s="69"/>
      <c r="BN986" s="69"/>
      <c r="BO986" s="69"/>
      <c r="BP986" s="69"/>
      <c r="BQ986" s="69"/>
      <c r="BR986" s="8"/>
    </row>
    <row r="987" ht="12.0" customHeight="1">
      <c r="A987" s="69"/>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c r="AM987" s="78"/>
      <c r="AN987" s="78"/>
      <c r="AO987" s="78"/>
      <c r="AP987" s="78"/>
      <c r="AQ987" s="78"/>
      <c r="AR987" s="69"/>
      <c r="AS987" s="69"/>
      <c r="AT987" s="69"/>
      <c r="AU987" s="69"/>
      <c r="AV987" s="69"/>
      <c r="AW987" s="69"/>
      <c r="AX987" s="69"/>
      <c r="AY987" s="69"/>
      <c r="AZ987" s="69"/>
      <c r="BA987" s="69"/>
      <c r="BB987" s="69"/>
      <c r="BC987" s="69"/>
      <c r="BD987" s="69"/>
      <c r="BE987" s="69"/>
      <c r="BF987" s="69"/>
      <c r="BG987" s="69"/>
      <c r="BH987" s="69"/>
      <c r="BI987" s="69"/>
      <c r="BJ987" s="69"/>
      <c r="BK987" s="69"/>
      <c r="BL987" s="69"/>
      <c r="BM987" s="69"/>
      <c r="BN987" s="69"/>
      <c r="BO987" s="69"/>
      <c r="BP987" s="69"/>
      <c r="BQ987" s="69"/>
      <c r="BR987" s="8"/>
    </row>
    <row r="988" ht="12.0" customHeight="1">
      <c r="A988" s="69"/>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c r="AM988" s="78"/>
      <c r="AN988" s="78"/>
      <c r="AO988" s="78"/>
      <c r="AP988" s="78"/>
      <c r="AQ988" s="78"/>
      <c r="AR988" s="69"/>
      <c r="AS988" s="69"/>
      <c r="AT988" s="69"/>
      <c r="AU988" s="69"/>
      <c r="AV988" s="69"/>
      <c r="AW988" s="69"/>
      <c r="AX988" s="69"/>
      <c r="AY988" s="69"/>
      <c r="AZ988" s="69"/>
      <c r="BA988" s="69"/>
      <c r="BB988" s="69"/>
      <c r="BC988" s="69"/>
      <c r="BD988" s="69"/>
      <c r="BE988" s="69"/>
      <c r="BF988" s="69"/>
      <c r="BG988" s="69"/>
      <c r="BH988" s="69"/>
      <c r="BI988" s="69"/>
      <c r="BJ988" s="69"/>
      <c r="BK988" s="69"/>
      <c r="BL988" s="69"/>
      <c r="BM988" s="69"/>
      <c r="BN988" s="69"/>
      <c r="BO988" s="69"/>
      <c r="BP988" s="69"/>
      <c r="BQ988" s="69"/>
      <c r="BR988" s="8"/>
    </row>
    <row r="989" ht="12.0" customHeight="1">
      <c r="A989" s="69"/>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c r="AF989" s="78"/>
      <c r="AG989" s="78"/>
      <c r="AH989" s="78"/>
      <c r="AI989" s="78"/>
      <c r="AJ989" s="78"/>
      <c r="AK989" s="78"/>
      <c r="AL989" s="78"/>
      <c r="AM989" s="78"/>
      <c r="AN989" s="78"/>
      <c r="AO989" s="78"/>
      <c r="AP989" s="78"/>
      <c r="AQ989" s="78"/>
      <c r="AR989" s="69"/>
      <c r="AS989" s="69"/>
      <c r="AT989" s="69"/>
      <c r="AU989" s="69"/>
      <c r="AV989" s="69"/>
      <c r="AW989" s="69"/>
      <c r="AX989" s="69"/>
      <c r="AY989" s="69"/>
      <c r="AZ989" s="69"/>
      <c r="BA989" s="69"/>
      <c r="BB989" s="69"/>
      <c r="BC989" s="69"/>
      <c r="BD989" s="69"/>
      <c r="BE989" s="69"/>
      <c r="BF989" s="69"/>
      <c r="BG989" s="69"/>
      <c r="BH989" s="69"/>
      <c r="BI989" s="69"/>
      <c r="BJ989" s="69"/>
      <c r="BK989" s="69"/>
      <c r="BL989" s="69"/>
      <c r="BM989" s="69"/>
      <c r="BN989" s="69"/>
      <c r="BO989" s="69"/>
      <c r="BP989" s="69"/>
      <c r="BQ989" s="69"/>
      <c r="BR989" s="8"/>
    </row>
    <row r="990" ht="12.0" customHeight="1">
      <c r="A990" s="69"/>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c r="AM990" s="78"/>
      <c r="AN990" s="78"/>
      <c r="AO990" s="78"/>
      <c r="AP990" s="78"/>
      <c r="AQ990" s="78"/>
      <c r="AR990" s="69"/>
      <c r="AS990" s="69"/>
      <c r="AT990" s="69"/>
      <c r="AU990" s="69"/>
      <c r="AV990" s="69"/>
      <c r="AW990" s="69"/>
      <c r="AX990" s="69"/>
      <c r="AY990" s="69"/>
      <c r="AZ990" s="69"/>
      <c r="BA990" s="69"/>
      <c r="BB990" s="69"/>
      <c r="BC990" s="69"/>
      <c r="BD990" s="69"/>
      <c r="BE990" s="69"/>
      <c r="BF990" s="69"/>
      <c r="BG990" s="69"/>
      <c r="BH990" s="69"/>
      <c r="BI990" s="69"/>
      <c r="BJ990" s="69"/>
      <c r="BK990" s="69"/>
      <c r="BL990" s="69"/>
      <c r="BM990" s="69"/>
      <c r="BN990" s="69"/>
      <c r="BO990" s="69"/>
      <c r="BP990" s="69"/>
      <c r="BQ990" s="69"/>
      <c r="BR990" s="8"/>
    </row>
    <row r="991" ht="12.0" customHeight="1">
      <c r="A991" s="69"/>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c r="AF991" s="78"/>
      <c r="AG991" s="78"/>
      <c r="AH991" s="78"/>
      <c r="AI991" s="78"/>
      <c r="AJ991" s="78"/>
      <c r="AK991" s="78"/>
      <c r="AL991" s="78"/>
      <c r="AM991" s="78"/>
      <c r="AN991" s="78"/>
      <c r="AO991" s="78"/>
      <c r="AP991" s="78"/>
      <c r="AQ991" s="78"/>
      <c r="AR991" s="69"/>
      <c r="AS991" s="69"/>
      <c r="AT991" s="69"/>
      <c r="AU991" s="69"/>
      <c r="AV991" s="69"/>
      <c r="AW991" s="69"/>
      <c r="AX991" s="69"/>
      <c r="AY991" s="69"/>
      <c r="AZ991" s="69"/>
      <c r="BA991" s="69"/>
      <c r="BB991" s="69"/>
      <c r="BC991" s="69"/>
      <c r="BD991" s="69"/>
      <c r="BE991" s="69"/>
      <c r="BF991" s="69"/>
      <c r="BG991" s="69"/>
      <c r="BH991" s="69"/>
      <c r="BI991" s="69"/>
      <c r="BJ991" s="69"/>
      <c r="BK991" s="69"/>
      <c r="BL991" s="69"/>
      <c r="BM991" s="69"/>
      <c r="BN991" s="69"/>
      <c r="BO991" s="69"/>
      <c r="BP991" s="69"/>
      <c r="BQ991" s="69"/>
      <c r="BR991" s="8"/>
    </row>
    <row r="992" ht="12.0" customHeight="1">
      <c r="A992" s="69"/>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c r="AF992" s="78"/>
      <c r="AG992" s="78"/>
      <c r="AH992" s="78"/>
      <c r="AI992" s="78"/>
      <c r="AJ992" s="78"/>
      <c r="AK992" s="78"/>
      <c r="AL992" s="78"/>
      <c r="AM992" s="78"/>
      <c r="AN992" s="78"/>
      <c r="AO992" s="78"/>
      <c r="AP992" s="78"/>
      <c r="AQ992" s="78"/>
      <c r="AR992" s="69"/>
      <c r="AS992" s="69"/>
      <c r="AT992" s="69"/>
      <c r="AU992" s="69"/>
      <c r="AV992" s="69"/>
      <c r="AW992" s="69"/>
      <c r="AX992" s="69"/>
      <c r="AY992" s="69"/>
      <c r="AZ992" s="69"/>
      <c r="BA992" s="69"/>
      <c r="BB992" s="69"/>
      <c r="BC992" s="69"/>
      <c r="BD992" s="69"/>
      <c r="BE992" s="69"/>
      <c r="BF992" s="69"/>
      <c r="BG992" s="69"/>
      <c r="BH992" s="69"/>
      <c r="BI992" s="69"/>
      <c r="BJ992" s="69"/>
      <c r="BK992" s="69"/>
      <c r="BL992" s="69"/>
      <c r="BM992" s="69"/>
      <c r="BN992" s="69"/>
      <c r="BO992" s="69"/>
      <c r="BP992" s="69"/>
      <c r="BQ992" s="69"/>
      <c r="BR992" s="8"/>
    </row>
    <row r="993" ht="12.0" customHeight="1">
      <c r="A993" s="69"/>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c r="AF993" s="78"/>
      <c r="AG993" s="78"/>
      <c r="AH993" s="78"/>
      <c r="AI993" s="78"/>
      <c r="AJ993" s="78"/>
      <c r="AK993" s="78"/>
      <c r="AL993" s="78"/>
      <c r="AM993" s="78"/>
      <c r="AN993" s="78"/>
      <c r="AO993" s="78"/>
      <c r="AP993" s="78"/>
      <c r="AQ993" s="78"/>
      <c r="AR993" s="69"/>
      <c r="AS993" s="69"/>
      <c r="AT993" s="69"/>
      <c r="AU993" s="69"/>
      <c r="AV993" s="69"/>
      <c r="AW993" s="69"/>
      <c r="AX993" s="69"/>
      <c r="AY993" s="69"/>
      <c r="AZ993" s="69"/>
      <c r="BA993" s="69"/>
      <c r="BB993" s="69"/>
      <c r="BC993" s="69"/>
      <c r="BD993" s="69"/>
      <c r="BE993" s="69"/>
      <c r="BF993" s="69"/>
      <c r="BG993" s="69"/>
      <c r="BH993" s="69"/>
      <c r="BI993" s="69"/>
      <c r="BJ993" s="69"/>
      <c r="BK993" s="69"/>
      <c r="BL993" s="69"/>
      <c r="BM993" s="69"/>
      <c r="BN993" s="69"/>
      <c r="BO993" s="69"/>
      <c r="BP993" s="69"/>
      <c r="BQ993" s="69"/>
      <c r="BR993" s="8"/>
    </row>
    <row r="994" ht="12.0" customHeight="1">
      <c r="A994" s="69"/>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c r="AM994" s="78"/>
      <c r="AN994" s="78"/>
      <c r="AO994" s="78"/>
      <c r="AP994" s="78"/>
      <c r="AQ994" s="78"/>
      <c r="AR994" s="69"/>
      <c r="AS994" s="69"/>
      <c r="AT994" s="69"/>
      <c r="AU994" s="69"/>
      <c r="AV994" s="69"/>
      <c r="AW994" s="69"/>
      <c r="AX994" s="69"/>
      <c r="AY994" s="69"/>
      <c r="AZ994" s="69"/>
      <c r="BA994" s="69"/>
      <c r="BB994" s="69"/>
      <c r="BC994" s="69"/>
      <c r="BD994" s="69"/>
      <c r="BE994" s="69"/>
      <c r="BF994" s="69"/>
      <c r="BG994" s="69"/>
      <c r="BH994" s="69"/>
      <c r="BI994" s="69"/>
      <c r="BJ994" s="69"/>
      <c r="BK994" s="69"/>
      <c r="BL994" s="69"/>
      <c r="BM994" s="69"/>
      <c r="BN994" s="69"/>
      <c r="BO994" s="69"/>
      <c r="BP994" s="69"/>
      <c r="BQ994" s="69"/>
      <c r="BR994" s="8"/>
    </row>
    <row r="995" ht="12.0" customHeight="1">
      <c r="A995" s="69"/>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c r="AF995" s="78"/>
      <c r="AG995" s="78"/>
      <c r="AH995" s="78"/>
      <c r="AI995" s="78"/>
      <c r="AJ995" s="78"/>
      <c r="AK995" s="78"/>
      <c r="AL995" s="78"/>
      <c r="AM995" s="78"/>
      <c r="AN995" s="78"/>
      <c r="AO995" s="78"/>
      <c r="AP995" s="78"/>
      <c r="AQ995" s="78"/>
      <c r="AR995" s="69"/>
      <c r="AS995" s="69"/>
      <c r="AT995" s="69"/>
      <c r="AU995" s="69"/>
      <c r="AV995" s="69"/>
      <c r="AW995" s="69"/>
      <c r="AX995" s="69"/>
      <c r="AY995" s="69"/>
      <c r="AZ995" s="69"/>
      <c r="BA995" s="69"/>
      <c r="BB995" s="69"/>
      <c r="BC995" s="69"/>
      <c r="BD995" s="69"/>
      <c r="BE995" s="69"/>
      <c r="BF995" s="69"/>
      <c r="BG995" s="69"/>
      <c r="BH995" s="69"/>
      <c r="BI995" s="69"/>
      <c r="BJ995" s="69"/>
      <c r="BK995" s="69"/>
      <c r="BL995" s="69"/>
      <c r="BM995" s="69"/>
      <c r="BN995" s="69"/>
      <c r="BO995" s="69"/>
      <c r="BP995" s="69"/>
      <c r="BQ995" s="69"/>
      <c r="BR995" s="8"/>
    </row>
    <row r="996" ht="12.0" customHeight="1">
      <c r="A996" s="69"/>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c r="AF996" s="78"/>
      <c r="AG996" s="78"/>
      <c r="AH996" s="78"/>
      <c r="AI996" s="78"/>
      <c r="AJ996" s="78"/>
      <c r="AK996" s="78"/>
      <c r="AL996" s="78"/>
      <c r="AM996" s="78"/>
      <c r="AN996" s="78"/>
      <c r="AO996" s="78"/>
      <c r="AP996" s="78"/>
      <c r="AQ996" s="78"/>
      <c r="AR996" s="69"/>
      <c r="AS996" s="69"/>
      <c r="AT996" s="69"/>
      <c r="AU996" s="69"/>
      <c r="AV996" s="69"/>
      <c r="AW996" s="69"/>
      <c r="AX996" s="69"/>
      <c r="AY996" s="69"/>
      <c r="AZ996" s="69"/>
      <c r="BA996" s="69"/>
      <c r="BB996" s="69"/>
      <c r="BC996" s="69"/>
      <c r="BD996" s="69"/>
      <c r="BE996" s="69"/>
      <c r="BF996" s="69"/>
      <c r="BG996" s="69"/>
      <c r="BH996" s="69"/>
      <c r="BI996" s="69"/>
      <c r="BJ996" s="69"/>
      <c r="BK996" s="69"/>
      <c r="BL996" s="69"/>
      <c r="BM996" s="69"/>
      <c r="BN996" s="69"/>
      <c r="BO996" s="69"/>
      <c r="BP996" s="69"/>
      <c r="BQ996" s="69"/>
      <c r="BR996" s="8"/>
    </row>
    <row r="997" ht="12.0" customHeight="1">
      <c r="A997" s="69"/>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78"/>
      <c r="AJ997" s="78"/>
      <c r="AK997" s="78"/>
      <c r="AL997" s="78"/>
      <c r="AM997" s="78"/>
      <c r="AN997" s="78"/>
      <c r="AO997" s="78"/>
      <c r="AP997" s="78"/>
      <c r="AQ997" s="78"/>
      <c r="AR997" s="69"/>
      <c r="AS997" s="69"/>
      <c r="AT997" s="69"/>
      <c r="AU997" s="69"/>
      <c r="AV997" s="69"/>
      <c r="AW997" s="69"/>
      <c r="AX997" s="69"/>
      <c r="AY997" s="69"/>
      <c r="AZ997" s="69"/>
      <c r="BA997" s="69"/>
      <c r="BB997" s="69"/>
      <c r="BC997" s="69"/>
      <c r="BD997" s="69"/>
      <c r="BE997" s="69"/>
      <c r="BF997" s="69"/>
      <c r="BG997" s="69"/>
      <c r="BH997" s="69"/>
      <c r="BI997" s="69"/>
      <c r="BJ997" s="69"/>
      <c r="BK997" s="69"/>
      <c r="BL997" s="69"/>
      <c r="BM997" s="69"/>
      <c r="BN997" s="69"/>
      <c r="BO997" s="69"/>
      <c r="BP997" s="69"/>
      <c r="BQ997" s="69"/>
      <c r="BR997" s="8"/>
    </row>
    <row r="998" ht="12.0" customHeight="1">
      <c r="A998" s="69"/>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c r="AF998" s="78"/>
      <c r="AG998" s="78"/>
      <c r="AH998" s="78"/>
      <c r="AI998" s="78"/>
      <c r="AJ998" s="78"/>
      <c r="AK998" s="78"/>
      <c r="AL998" s="78"/>
      <c r="AM998" s="78"/>
      <c r="AN998" s="78"/>
      <c r="AO998" s="78"/>
      <c r="AP998" s="78"/>
      <c r="AQ998" s="78"/>
      <c r="AR998" s="69"/>
      <c r="AS998" s="69"/>
      <c r="AT998" s="69"/>
      <c r="AU998" s="69"/>
      <c r="AV998" s="69"/>
      <c r="AW998" s="69"/>
      <c r="AX998" s="69"/>
      <c r="AY998" s="69"/>
      <c r="AZ998" s="69"/>
      <c r="BA998" s="69"/>
      <c r="BB998" s="69"/>
      <c r="BC998" s="69"/>
      <c r="BD998" s="69"/>
      <c r="BE998" s="69"/>
      <c r="BF998" s="69"/>
      <c r="BG998" s="69"/>
      <c r="BH998" s="69"/>
      <c r="BI998" s="69"/>
      <c r="BJ998" s="69"/>
      <c r="BK998" s="69"/>
      <c r="BL998" s="69"/>
      <c r="BM998" s="69"/>
      <c r="BN998" s="69"/>
      <c r="BO998" s="69"/>
      <c r="BP998" s="69"/>
      <c r="BQ998" s="69"/>
      <c r="BR998" s="8"/>
    </row>
    <row r="999" ht="12.0" customHeight="1">
      <c r="A999" s="69"/>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c r="AF999" s="78"/>
      <c r="AG999" s="78"/>
      <c r="AH999" s="78"/>
      <c r="AI999" s="78"/>
      <c r="AJ999" s="78"/>
      <c r="AK999" s="78"/>
      <c r="AL999" s="78"/>
      <c r="AM999" s="78"/>
      <c r="AN999" s="78"/>
      <c r="AO999" s="78"/>
      <c r="AP999" s="78"/>
      <c r="AQ999" s="78"/>
      <c r="AR999" s="69"/>
      <c r="AS999" s="69"/>
      <c r="AT999" s="69"/>
      <c r="AU999" s="69"/>
      <c r="AV999" s="69"/>
      <c r="AW999" s="69"/>
      <c r="AX999" s="69"/>
      <c r="AY999" s="69"/>
      <c r="AZ999" s="69"/>
      <c r="BA999" s="69"/>
      <c r="BB999" s="69"/>
      <c r="BC999" s="69"/>
      <c r="BD999" s="69"/>
      <c r="BE999" s="69"/>
      <c r="BF999" s="69"/>
      <c r="BG999" s="69"/>
      <c r="BH999" s="69"/>
      <c r="BI999" s="69"/>
      <c r="BJ999" s="69"/>
      <c r="BK999" s="69"/>
      <c r="BL999" s="69"/>
      <c r="BM999" s="69"/>
      <c r="BN999" s="69"/>
      <c r="BO999" s="69"/>
      <c r="BP999" s="69"/>
      <c r="BQ999" s="69"/>
      <c r="BR999" s="8"/>
    </row>
    <row r="1000" ht="12.0" customHeight="1">
      <c r="A1000" s="69"/>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c r="AL1000" s="78"/>
      <c r="AM1000" s="78"/>
      <c r="AN1000" s="78"/>
      <c r="AO1000" s="78"/>
      <c r="AP1000" s="78"/>
      <c r="AQ1000" s="78"/>
      <c r="AR1000" s="69"/>
      <c r="AS1000" s="69"/>
      <c r="AT1000" s="69"/>
      <c r="AU1000" s="69"/>
      <c r="AV1000" s="69"/>
      <c r="AW1000" s="69"/>
      <c r="AX1000" s="69"/>
      <c r="AY1000" s="69"/>
      <c r="AZ1000" s="69"/>
      <c r="BA1000" s="69"/>
      <c r="BB1000" s="69"/>
      <c r="BC1000" s="69"/>
      <c r="BD1000" s="69"/>
      <c r="BE1000" s="69"/>
      <c r="BF1000" s="69"/>
      <c r="BG1000" s="69"/>
      <c r="BH1000" s="69"/>
      <c r="BI1000" s="69"/>
      <c r="BJ1000" s="69"/>
      <c r="BK1000" s="69"/>
      <c r="BL1000" s="69"/>
      <c r="BM1000" s="69"/>
      <c r="BN1000" s="69"/>
      <c r="BO1000" s="69"/>
      <c r="BP1000" s="69"/>
      <c r="BQ1000" s="69"/>
      <c r="BR1000" s="8"/>
    </row>
  </sheetData>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1015247747</vt:i4>
  </property>
  <property fmtid="{D5CDD505-2E9C-101B-9397-08002B2CF9AE}" pid="3" name="_NewReviewCycle">
    <vt:lpwstr/>
  </property>
  <property fmtid="{D5CDD505-2E9C-101B-9397-08002B2CF9AE}" pid="4" name="_PreviousAdHocReviewCycleID">
    <vt:i4>66638492</vt:i4>
  </property>
  <property fmtid="{D5CDD505-2E9C-101B-9397-08002B2CF9AE}" pid="5" name="_ReviewingToolsShownOnce">
    <vt:lpwstr/>
  </property>
  <property fmtid="{D5CDD505-2E9C-101B-9397-08002B2CF9AE}" pid="6" name="eDOCS AutoSave">
    <vt:lpwstr/>
  </property>
</Properties>
</file>